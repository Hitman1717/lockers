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ables" sheetId="2" state="visible" r:id="rId4"/>
    <sheet name="Relationships" sheetId="3" state="visible" r:id="rId5"/>
    <sheet name="companies" sheetId="4" state="visible" r:id="rId6"/>
    <sheet name="cities" sheetId="5" state="visible" r:id="rId7"/>
    <sheet name="branches" sheetId="6" state="visible" r:id="rId8"/>
    <sheet name="wards" sheetId="7" state="visible" r:id="rId9"/>
    <sheet name="kiosks" sheetId="8" state="visible" r:id="rId10"/>
    <sheet name="lockers" sheetId="9" state="visible" r:id="rId11"/>
    <sheet name="employees" sheetId="10" state="visible" r:id="rId12"/>
    <sheet name="locker_allocations" sheetId="11" state="visible" r:id="rId13"/>
    <sheet name="maintenance_tickets" sheetId="12" state="visible" r:id="rId14"/>
    <sheet name="locker_events" sheetId="13" state="visible" r:id="rId15"/>
    <sheet name="Views" sheetId="14" state="visible" r:id="rId16"/>
    <sheet name="Triggers &amp; Functions" sheetId="15" state="visible" r:id="rId17"/>
    <sheet name="Seed Data" sheetId="16" state="visible" r:id="rId18"/>
    <sheet name="Notes &amp; Observations" sheetId="17" state="visible" r:id="rId19"/>
    <sheet name="Test Credentials" sheetId="18" state="visible" r:id="rId20"/>
  </sheets>
  <definedNames>
    <definedName function="false" hidden="true" localSheetId="16" name="_xlnm._FilterDatabase" vbProcedure="false">'Notes &amp; Observations'!$A$1:$B$13</definedName>
    <definedName function="false" hidden="true" localSheetId="2" name="_xlnm._FilterDatabase" vbProcedure="false">Relationships!$A$1:$I$19</definedName>
    <definedName function="false" hidden="true" localSheetId="15" name="_xlnm._FilterDatabase" vbProcedure="false">'Seed Data'!$A$1:$C$10</definedName>
    <definedName function="false" hidden="true" localSheetId="1" name="_xlnm._FilterDatabase" vbProcedure="false">Tables!$A$1:$J$15</definedName>
    <definedName function="false" hidden="true" localSheetId="14" name="_xlnm._FilterDatabase" vbProcedure="false">'Triggers &amp; Functions'!$A$1:$E$7</definedName>
    <definedName function="false" hidden="true" localSheetId="13" name="_xlnm._FilterDatabase" vbProcedure="false">Views!$A$1:$D$3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<sst xmlns="http://schemas.openxmlformats.org/spreadsheetml/2006/main" count="2551" uniqueCount="1006">
  <si>
    <t xml:space="preserve">Smart Locker System - Database Schema Documentation</t>
  </si>
  <si>
    <t xml:space="preserve">Source: schema.production.sql  |  PostgreSQL 14+  |  Multi-tenant IoT smart locker platform</t>
  </si>
  <si>
    <t xml:space="preserve">Summary (live formulas)</t>
  </si>
  <si>
    <t xml:space="preserve">Base tables + partitioned table</t>
  </si>
  <si>
    <t xml:space="preserve">Partitions</t>
  </si>
  <si>
    <t xml:space="preserve">Columns documented (excl. partitions)</t>
  </si>
  <si>
    <t xml:space="preserve">Relationships (total)</t>
  </si>
  <si>
    <t xml:space="preserve">  of which enforced foreign keys</t>
  </si>
  <si>
    <t xml:space="preserve">  of which logical (not enforced)</t>
  </si>
  <si>
    <t xml:space="preserve">Constraints (PK / UNIQUE / CHECK)</t>
  </si>
  <si>
    <t xml:space="preserve">Indexes (explicit)</t>
  </si>
  <si>
    <t xml:space="preserve">Views</t>
  </si>
  <si>
    <t xml:space="preserve">Triggers</t>
  </si>
  <si>
    <t xml:space="preserve">Tenant hierarchy</t>
  </si>
  <si>
    <t xml:space="preserve">companies</t>
  </si>
  <si>
    <t xml:space="preserve">   └── cities</t>
  </si>
  <si>
    <t xml:space="preserve">         └── branches  (also directly under companies)</t>
  </si>
  <si>
    <t xml:space="preserve">               └── wards</t>
  </si>
  <si>
    <t xml:space="preserve">                     ├── kiosks</t>
  </si>
  <si>
    <t xml:space="preserve">                     └── lockers</t>
  </si>
  <si>
    <t xml:space="preserve">                           ├── locker_allocations  (sessions; also → kiosks, employees, wards)</t>
  </si>
  <si>
    <t xml:space="preserve">                           ├── maintenance_tickets  (→ employees as reporter / assignee)</t>
  </si>
  <si>
    <t xml:space="preserve">                           └── locker_events  (partitioned, logical link only)</t>
  </si>
  <si>
    <t xml:space="preserve">companies ── employees  (optionally → branches)</t>
  </si>
  <si>
    <t xml:space="preserve">Sheet guide</t>
  </si>
  <si>
    <t xml:space="preserve">Tables</t>
  </si>
  <si>
    <t xml:space="preserve">Index of all tables (click a name to jump to its sheet)</t>
  </si>
  <si>
    <t xml:space="preserve">Relationships</t>
  </si>
  <si>
    <t xml:space="preserve">Map of all 18 relationships across the schema</t>
  </si>
  <si>
    <t xml:space="preserve">&lt;table name&gt; sheets (10)</t>
  </si>
  <si>
    <t xml:space="preserve">One sheet per table: columns, relations, constraints, indexes and sample data</t>
  </si>
  <si>
    <t xml:space="preserve">Compatibility and analytics views</t>
  </si>
  <si>
    <t xml:space="preserve">Triggers &amp; Functions</t>
  </si>
  <si>
    <t xml:space="preserve">updated_at automation</t>
  </si>
  <si>
    <t xml:space="preserve">Seed Data</t>
  </si>
  <si>
    <t xml:space="preserve">What schema.production.sql seeds by default</t>
  </si>
  <si>
    <t xml:space="preserve">Notes &amp; Observations</t>
  </si>
  <si>
    <t xml:space="preserve">Review comments and potential improvements</t>
  </si>
  <si>
    <t xml:space="preserve">Test Credentials</t>
  </si>
  <si>
    <t xml:space="preserve">Plain-text logins and PINs matching the hashed dummy data</t>
  </si>
  <si>
    <t xml:space="preserve">Table</t>
  </si>
  <si>
    <t xml:space="preserve">Layer</t>
  </si>
  <si>
    <t xml:space="preserve">Type</t>
  </si>
  <si>
    <t xml:space="preserve">Purpose</t>
  </si>
  <si>
    <t xml:space="preserve">Primary Key</t>
  </si>
  <si>
    <t xml:space="preserve"># Columns</t>
  </si>
  <si>
    <t xml:space="preserve"># Outgoing refs (child of)</t>
  </si>
  <si>
    <t xml:space="preserve"># Incoming refs (parent of)</t>
  </si>
  <si>
    <t xml:space="preserve"># Constraints</t>
  </si>
  <si>
    <t xml:space="preserve"># Indexes (explicit)</t>
  </si>
  <si>
    <t xml:space="preserve">1 - Tenancy</t>
  </si>
  <si>
    <t xml:space="preserve">BASE TABLE</t>
  </si>
  <si>
    <t xml:space="preserve">Tenant / organization root of the hierarchy. Holds JSONB settings.</t>
  </si>
  <si>
    <t xml:space="preserve">id</t>
  </si>
  <si>
    <t xml:space="preserve">Cities in which a company operates.</t>
  </si>
  <si>
    <t xml:space="preserve">Hospitals / facilities / campuses.</t>
  </si>
  <si>
    <t xml:space="preserve">Departments, floors or locker zones inside a branch.</t>
  </si>
  <si>
    <t xml:space="preserve">2 - Hardware</t>
  </si>
  <si>
    <t xml:space="preserve">User-facing touchscreen terminals.</t>
  </si>
  <si>
    <t xml:space="preserve">Physical locker compartments with IoT telemetry.</t>
  </si>
  <si>
    <t xml:space="preserve">3 - Users &amp; RBAC</t>
  </si>
  <si>
    <t xml:space="preserve">Staff accounts with role-based access.</t>
  </si>
  <si>
    <t xml:space="preserve">4 - Sessions</t>
  </si>
  <si>
    <t xml:space="preserve">One row per locker checkout lifecycle (audit + privacy).</t>
  </si>
  <si>
    <t xml:space="preserve">5 - Maintenance</t>
  </si>
  <si>
    <t xml:space="preserve">Fault / repair tickets for lockers.</t>
  </si>
  <si>
    <t xml:space="preserve">6 - Audit / IoT</t>
  </si>
  <si>
    <t xml:space="preserve">PARTITIONED TABLE</t>
  </si>
  <si>
    <t xml:space="preserve">High-volume event log, RANGE-partitioned monthly on created_at.</t>
  </si>
  <si>
    <t xml:space="preserve">(id, created_at)</t>
  </si>
  <si>
    <t xml:space="preserve">locker_events_2026_10</t>
  </si>
  <si>
    <t xml:space="preserve">PARTITION</t>
  </si>
  <si>
    <t xml:space="preserve">Oct 2026 partition of locker_events.</t>
  </si>
  <si>
    <t xml:space="preserve">inherited</t>
  </si>
  <si>
    <t xml:space="preserve">-</t>
  </si>
  <si>
    <t xml:space="preserve">locker_events_2026_11</t>
  </si>
  <si>
    <t xml:space="preserve">Nov 2026 partition of locker_events.</t>
  </si>
  <si>
    <t xml:space="preserve">locker_events_2026_12</t>
  </si>
  <si>
    <t xml:space="preserve">Dec 2026 partition of locker_events.</t>
  </si>
  <si>
    <t xml:space="preserve">locker_events_default</t>
  </si>
  <si>
    <t xml:space="preserve">Catch-all DEFAULT partition.</t>
  </si>
  <si>
    <t xml:space="preserve">#</t>
  </si>
  <si>
    <t xml:space="preserve">Child Table (FK side)</t>
  </si>
  <si>
    <t xml:space="preserve">Child Column</t>
  </si>
  <si>
    <t xml:space="preserve">Parent Table (referenced)</t>
  </si>
  <si>
    <t xml:space="preserve">Parent Column</t>
  </si>
  <si>
    <t xml:space="preserve">ON DELETE</t>
  </si>
  <si>
    <t xml:space="preserve">Cardinality</t>
  </si>
  <si>
    <t xml:space="preserve">Enforced FK?</t>
  </si>
  <si>
    <t xml:space="preserve">Meaning</t>
  </si>
  <si>
    <t xml:space="preserve">cities</t>
  </si>
  <si>
    <t xml:space="preserve">company_id</t>
  </si>
  <si>
    <t xml:space="preserve">CASCADE</t>
  </si>
  <si>
    <t xml:space="preserve">Many-to-One (N:1)</t>
  </si>
  <si>
    <t xml:space="preserve">Yes</t>
  </si>
  <si>
    <t xml:space="preserve">A company has many cities.</t>
  </si>
  <si>
    <t xml:space="preserve">branches</t>
  </si>
  <si>
    <t xml:space="preserve">A company has many branches.</t>
  </si>
  <si>
    <t xml:space="preserve">city_id</t>
  </si>
  <si>
    <t xml:space="preserve">A city has many branches.</t>
  </si>
  <si>
    <t xml:space="preserve">wards</t>
  </si>
  <si>
    <t xml:space="preserve">branch_id</t>
  </si>
  <si>
    <t xml:space="preserve">A branch has many wards.</t>
  </si>
  <si>
    <t xml:space="preserve">kiosks</t>
  </si>
  <si>
    <t xml:space="preserve">ward_id</t>
  </si>
  <si>
    <t xml:space="preserve">A ward has many kiosks.</t>
  </si>
  <si>
    <t xml:space="preserve">lockers</t>
  </si>
  <si>
    <t xml:space="preserve">A ward has many lockers.</t>
  </si>
  <si>
    <t xml:space="preserve">employees</t>
  </si>
  <si>
    <t xml:space="preserve">A company has many employees.</t>
  </si>
  <si>
    <t xml:space="preserve">SET NULL</t>
  </si>
  <si>
    <t xml:space="preserve">Many-to-One (N:1), optional</t>
  </si>
  <si>
    <t xml:space="preserve">A branch has many employees; NULL = not branch-bound.</t>
  </si>
  <si>
    <t xml:space="preserve">locker_allocations</t>
  </si>
  <si>
    <t xml:space="preserve">locker_id</t>
  </si>
  <si>
    <t xml:space="preserve">A locker has many allocation sessions over time (max 1 active).</t>
  </si>
  <si>
    <t xml:space="preserve">Ward copy for fast filtering.</t>
  </si>
  <si>
    <t xml:space="preserve">kiosk_id</t>
  </si>
  <si>
    <t xml:space="preserve">Kiosk that created the allocation.</t>
  </si>
  <si>
    <t xml:space="preserve">released_by_employee_id</t>
  </si>
  <si>
    <t xml:space="preserve">Employee who released the locker.</t>
  </si>
  <si>
    <t xml:space="preserve">maintenance_tickets</t>
  </si>
  <si>
    <t xml:space="preserve">A locker has many tickets.</t>
  </si>
  <si>
    <t xml:space="preserve">reported_by_id</t>
  </si>
  <si>
    <t xml:space="preserve">Employee who reported.</t>
  </si>
  <si>
    <t xml:space="preserve">assigned_to_id</t>
  </si>
  <si>
    <t xml:space="preserve">Technician assigned.</t>
  </si>
  <si>
    <t xml:space="preserve">locker_events</t>
  </si>
  <si>
    <t xml:space="preserve">n/a</t>
  </si>
  <si>
    <t xml:space="preserve">No (logical)</t>
  </si>
  <si>
    <t xml:space="preserve">No FK because of partitioning / write throughput.</t>
  </si>
  <si>
    <t xml:space="preserve">allocation_id</t>
  </si>
  <si>
    <t xml:space="preserve">Event tied to an allocation session.</t>
  </si>
  <si>
    <t xml:space="preserve">actor_employee_id</t>
  </si>
  <si>
    <t xml:space="preserve">Employee who triggered the event.</t>
  </si>
  <si>
    <t xml:space="preserve">Table: companies</t>
  </si>
  <si>
    <t xml:space="preserve">Layer: 1 - Tenancy   |   Type: BASE TABLE   |   Primary key: id</t>
  </si>
  <si>
    <t xml:space="preserve">1. COLUMNS</t>
  </si>
  <si>
    <t xml:space="preserve">Column</t>
  </si>
  <si>
    <t xml:space="preserve">Data Type</t>
  </si>
  <si>
    <t xml:space="preserve">Nullable</t>
  </si>
  <si>
    <t xml:space="preserve">Default</t>
  </si>
  <si>
    <t xml:space="preserve">Key / Constraint</t>
  </si>
  <si>
    <t xml:space="preserve">Description</t>
  </si>
  <si>
    <t xml:space="preserve">SERIAL</t>
  </si>
  <si>
    <t xml:space="preserve">NO</t>
  </si>
  <si>
    <t xml:space="preserve">auto-increment</t>
  </si>
  <si>
    <t xml:space="preserve">PK</t>
  </si>
  <si>
    <t xml:space="preserve">Internal surrogate key for the tenant.</t>
  </si>
  <si>
    <t xml:space="preserve">uuid</t>
  </si>
  <si>
    <t xml:space="preserve">UUID</t>
  </si>
  <si>
    <t xml:space="preserve">gen_random_uuid()</t>
  </si>
  <si>
    <t xml:space="preserve">UQ</t>
  </si>
  <si>
    <t xml:space="preserve">Public/external identifier safe to expose in APIs.</t>
  </si>
  <si>
    <t xml:space="preserve">name</t>
  </si>
  <si>
    <t xml:space="preserve">VARCHAR(150)</t>
  </si>
  <si>
    <t xml:space="preserve">Organization display name.</t>
  </si>
  <si>
    <t xml:space="preserve">slug</t>
  </si>
  <si>
    <t xml:space="preserve">VARCHAR(100)</t>
  </si>
  <si>
    <t xml:space="preserve">URL-friendly unique tenant code.</t>
  </si>
  <si>
    <t xml:space="preserve">settings</t>
  </si>
  <si>
    <t xml:space="preserve">JSONB</t>
  </si>
  <si>
    <t xml:space="preserve">{pin_length:4, max_occupancy_hours:24, photo_retention_days:7, require_occupant_phone:false, auto_unlock_on_timeout:false}</t>
  </si>
  <si>
    <t xml:space="preserve">Per-tenant configuration (PIN rules, occupancy limits, GDPR photo retention).</t>
  </si>
  <si>
    <t xml:space="preserve">is_active</t>
  </si>
  <si>
    <t xml:space="preserve">BOOLEAN</t>
  </si>
  <si>
    <t xml:space="preserve">TRUE</t>
  </si>
  <si>
    <t xml:space="preserve">Soft enable/disable flag for the tenant.</t>
  </si>
  <si>
    <t xml:space="preserve">created_at</t>
  </si>
  <si>
    <t xml:space="preserve">TIMESTAMPTZ</t>
  </si>
  <si>
    <t xml:space="preserve">CURRENT_TIMESTAMP</t>
  </si>
  <si>
    <t xml:space="preserve">Row creation time.</t>
  </si>
  <si>
    <t xml:space="preserve">updated_at</t>
  </si>
  <si>
    <t xml:space="preserve">Auto-updated by trigger.</t>
  </si>
  <si>
    <t xml:space="preserve">2. RELATIONSHIPS</t>
  </si>
  <si>
    <t xml:space="preserve">Direction</t>
  </si>
  <si>
    <t xml:space="preserve">This column</t>
  </si>
  <si>
    <t xml:space="preserve">Related table</t>
  </si>
  <si>
    <t xml:space="preserve">Related column</t>
  </si>
  <si>
    <t xml:space="preserve">Cardinality / meaning</t>
  </si>
  <si>
    <t xml:space="preserve">Referenced by (child) &lt;-</t>
  </si>
  <si>
    <t xml:space="preserve">Many-to-One (N:1); enforced FK: Yes. A company has many cities.</t>
  </si>
  <si>
    <t xml:space="preserve">Many-to-One (N:1); enforced FK: Yes. A company has many branches.</t>
  </si>
  <si>
    <t xml:space="preserve">Many-to-One (N:1); enforced FK: Yes. A company has many employees.</t>
  </si>
  <si>
    <t xml:space="preserve">3. CONSTRAINTS</t>
  </si>
  <si>
    <t xml:space="preserve">Name</t>
  </si>
  <si>
    <t xml:space="preserve">Definition / columns</t>
  </si>
  <si>
    <t xml:space="preserve">companies_pkey</t>
  </si>
  <si>
    <t xml:space="preserve">PRIMARY KEY</t>
  </si>
  <si>
    <t xml:space="preserve">(id)</t>
  </si>
  <si>
    <t xml:space="preserve">Unique row identifier.</t>
  </si>
  <si>
    <t xml:space="preserve">companies_uuid_key</t>
  </si>
  <si>
    <t xml:space="preserve">UNIQUE</t>
  </si>
  <si>
    <t xml:space="preserve">Public UUID must be unique.</t>
  </si>
  <si>
    <t xml:space="preserve">companies_slug_key</t>
  </si>
  <si>
    <t xml:space="preserve">Slug must be unique.</t>
  </si>
  <si>
    <t xml:space="preserve">4. INDEXES</t>
  </si>
  <si>
    <t xml:space="preserve">Index name</t>
  </si>
  <si>
    <t xml:space="preserve">Columns / expression</t>
  </si>
  <si>
    <t xml:space="preserve">(none)</t>
  </si>
  <si>
    <t xml:space="preserve">Only implicit PK / UNIQUE indexes.</t>
  </si>
  <si>
    <t xml:space="preserve">5. SAMPLE (DUMMY) DATA - 3 rows</t>
  </si>
  <si>
    <t xml:space="preserve">6ae48192-5769-594e-95ea-0971a58330a5</t>
  </si>
  <si>
    <t xml:space="preserve">Apex Health Systems</t>
  </si>
  <si>
    <t xml:space="preserve">apex-health</t>
  </si>
  <si>
    <t xml:space="preserve">{"pin_length": 4, "max_occupancy_hours": 24, "photo_retention_days": 7, "require_occupant_phone": false, "auto_unlock_on_timeout": false}</t>
  </si>
  <si>
    <t xml:space="preserve">065a2cc1-9523-59c0-88af-bcb2dd5cde37</t>
  </si>
  <si>
    <t xml:space="preserve">FitZone Gyms</t>
  </si>
  <si>
    <t xml:space="preserve">fitzone-gyms</t>
  </si>
  <si>
    <t xml:space="preserve">{"pin_length": 6, "max_occupancy_hours": 6, "photo_retention_days": 3, "require_occupant_phone": true, "auto_unlock_on_timeout": true}</t>
  </si>
  <si>
    <t xml:space="preserve">5dadaa3f-01b2-5aeb-9b66-48c5b935c368</t>
  </si>
  <si>
    <t xml:space="preserve">Urban Corp Facilities</t>
  </si>
  <si>
    <t xml:space="preserve">urban-corp</t>
  </si>
  <si>
    <t xml:space="preserve">{"pin_length": 4, "max_occupancy_hours": 12, "photo_retention_days": 14, "require_occupant_phone": false, "auto_unlock_on_timeout": false}</t>
  </si>
  <si>
    <t xml:space="preserve">Table: cities</t>
  </si>
  <si>
    <t xml:space="preserve">City key.</t>
  </si>
  <si>
    <t xml:space="preserve">INT</t>
  </si>
  <si>
    <t xml:space="preserve">FK → companies.id</t>
  </si>
  <si>
    <t xml:space="preserve">Owning tenant.</t>
  </si>
  <si>
    <t xml:space="preserve">UQ (company_id, name)</t>
  </si>
  <si>
    <t xml:space="preserve">City name, unique within a company.</t>
  </si>
  <si>
    <t xml:space="preserve">state</t>
  </si>
  <si>
    <t xml:space="preserve">YES</t>
  </si>
  <si>
    <t xml:space="preserve">State / province.</t>
  </si>
  <si>
    <t xml:space="preserve">country</t>
  </si>
  <si>
    <t xml:space="preserve">VARCHAR(3)</t>
  </si>
  <si>
    <t xml:space="preserve">'USA'</t>
  </si>
  <si>
    <t xml:space="preserve">Country code.</t>
  </si>
  <si>
    <t xml:space="preserve">Last update (no trigger attached).</t>
  </si>
  <si>
    <t xml:space="preserve">References (parent) -&gt;</t>
  </si>
  <si>
    <t xml:space="preserve">Many-to-One (N:1); enforced FK: Yes. A city has many branches.</t>
  </si>
  <si>
    <t xml:space="preserve">cities_pkey</t>
  </si>
  <si>
    <t xml:space="preserve">uq_company_city</t>
  </si>
  <si>
    <t xml:space="preserve">(company_id, name)</t>
  </si>
  <si>
    <t xml:space="preserve">City name unique per company.</t>
  </si>
  <si>
    <t xml:space="preserve">5. SAMPLE (DUMMY) DATA - 6 rows</t>
  </si>
  <si>
    <t xml:space="preserve">Metro City</t>
  </si>
  <si>
    <t xml:space="preserve">NY</t>
  </si>
  <si>
    <t xml:space="preserve">USA</t>
  </si>
  <si>
    <t xml:space="preserve">West Valley</t>
  </si>
  <si>
    <t xml:space="preserve">CA</t>
  </si>
  <si>
    <t xml:space="preserve">Austin</t>
  </si>
  <si>
    <t xml:space="preserve">TX</t>
  </si>
  <si>
    <t xml:space="preserve">Denver</t>
  </si>
  <si>
    <t xml:space="preserve">CO</t>
  </si>
  <si>
    <t xml:space="preserve">Chicago</t>
  </si>
  <si>
    <t xml:space="preserve">IL</t>
  </si>
  <si>
    <t xml:space="preserve">Seattle</t>
  </si>
  <si>
    <t xml:space="preserve">WA</t>
  </si>
  <si>
    <t xml:space="preserve">Table: branches</t>
  </si>
  <si>
    <t xml:space="preserve">Branch key.</t>
  </si>
  <si>
    <t xml:space="preserve">FK → cities.id</t>
  </si>
  <si>
    <t xml:space="preserve">City where the branch is located.</t>
  </si>
  <si>
    <t xml:space="preserve">Hospital / facility / campus name.</t>
  </si>
  <si>
    <t xml:space="preserve">code</t>
  </si>
  <si>
    <t xml:space="preserve">VARCHAR(50)</t>
  </si>
  <si>
    <t xml:space="preserve">Globally unique branch code, e.g. CMH-NYC.</t>
  </si>
  <si>
    <t xml:space="preserve">address</t>
  </si>
  <si>
    <t xml:space="preserve">TEXT</t>
  </si>
  <si>
    <t xml:space="preserve">Street address.</t>
  </si>
  <si>
    <t xml:space="preserve">timezone</t>
  </si>
  <si>
    <t xml:space="preserve">'UTC'</t>
  </si>
  <si>
    <t xml:space="preserve">IANA timezone, e.g. America/New_York.</t>
  </si>
  <si>
    <t xml:space="preserve">Soft enable/disable flag.</t>
  </si>
  <si>
    <t xml:space="preserve">Many-to-One (N:1); enforced FK: Yes. A branch has many wards.</t>
  </si>
  <si>
    <t xml:space="preserve">Many-to-One (N:1), optional; enforced FK: Yes. A branch has many employees; NULL = not branch-bound.</t>
  </si>
  <si>
    <t xml:space="preserve">branches_pkey</t>
  </si>
  <si>
    <t xml:space="preserve">branches_code_key</t>
  </si>
  <si>
    <t xml:space="preserve">Branch code globally unique.</t>
  </si>
  <si>
    <t xml:space="preserve">Central Memorial Hospital</t>
  </si>
  <si>
    <t xml:space="preserve">CMH-01</t>
  </si>
  <si>
    <t xml:space="preserve">100 Medical Plaza Blvd, New York, NY</t>
  </si>
  <si>
    <t xml:space="preserve">America/New_York</t>
  </si>
  <si>
    <t xml:space="preserve">Westside Community Clinic</t>
  </si>
  <si>
    <t xml:space="preserve">WCC-02</t>
  </si>
  <si>
    <t xml:space="preserve">450 Sunset Ave, Los Angeles, CA</t>
  </si>
  <si>
    <t xml:space="preserve">America/Los_Angeles</t>
  </si>
  <si>
    <t xml:space="preserve">FitZone Austin Downtown</t>
  </si>
  <si>
    <t xml:space="preserve">FZ-AUS-01</t>
  </si>
  <si>
    <t xml:space="preserve">210 Congress Ave, Austin, TX</t>
  </si>
  <si>
    <t xml:space="preserve">America/Chicago</t>
  </si>
  <si>
    <t xml:space="preserve">FitZone Denver Central</t>
  </si>
  <si>
    <t xml:space="preserve">FZ-DEN-01</t>
  </si>
  <si>
    <t xml:space="preserve">88 Larimer St, Denver, CO</t>
  </si>
  <si>
    <t xml:space="preserve">America/Denver</t>
  </si>
  <si>
    <t xml:space="preserve">Urban Tower Chicago</t>
  </si>
  <si>
    <t xml:space="preserve">URB-CHI-01</t>
  </si>
  <si>
    <t xml:space="preserve">330 N Wabash Ave, Chicago, IL</t>
  </si>
  <si>
    <t xml:space="preserve">Urban Plaza Seattle</t>
  </si>
  <si>
    <t xml:space="preserve">URB-SEA-01</t>
  </si>
  <si>
    <t xml:space="preserve">1201 Third Ave, Seattle, WA</t>
  </si>
  <si>
    <t xml:space="preserve">Table: wards</t>
  </si>
  <si>
    <t xml:space="preserve">Ward key.</t>
  </si>
  <si>
    <t xml:space="preserve">FK → branches.id</t>
  </si>
  <si>
    <t xml:space="preserve">Parent branch.</t>
  </si>
  <si>
    <t xml:space="preserve">UQ (branch_id, name)</t>
  </si>
  <si>
    <t xml:space="preserve">Ward / department / locker zone name.</t>
  </si>
  <si>
    <t xml:space="preserve">floor</t>
  </si>
  <si>
    <t xml:space="preserve">'1st Floor'</t>
  </si>
  <si>
    <t xml:space="preserve">Floor label.</t>
  </si>
  <si>
    <t xml:space="preserve">description</t>
  </si>
  <si>
    <t xml:space="preserve">Free-text description.</t>
  </si>
  <si>
    <t xml:space="preserve">Many-to-One (N:1); enforced FK: Yes. A ward has many kiosks.</t>
  </si>
  <si>
    <t xml:space="preserve">Many-to-One (N:1); enforced FK: Yes. A ward has many lockers.</t>
  </si>
  <si>
    <t xml:space="preserve">Many-to-One (N:1); enforced FK: Yes. Ward copy for fast filtering.</t>
  </si>
  <si>
    <t xml:space="preserve">wards_pkey</t>
  </si>
  <si>
    <t xml:space="preserve">uq_branch_ward</t>
  </si>
  <si>
    <t xml:space="preserve">(branch_id, name)</t>
  </si>
  <si>
    <t xml:space="preserve">Ward name unique per branch.</t>
  </si>
  <si>
    <t xml:space="preserve">5. SAMPLE (DUMMY) DATA - 10 rows</t>
  </si>
  <si>
    <t xml:space="preserve">Ward 3A - Intensive Care</t>
  </si>
  <si>
    <t xml:space="preserve">3rd Floor</t>
  </si>
  <si>
    <t xml:space="preserve">Inpatient surgical recovery &amp; ICU storage</t>
  </si>
  <si>
    <t xml:space="preserve">Ward 1B - Emergency Room</t>
  </si>
  <si>
    <t xml:space="preserve">1st Floor</t>
  </si>
  <si>
    <t xml:space="preserve">Urgent trauma &amp; ER public patient storage</t>
  </si>
  <si>
    <t xml:space="preserve">Ward 2C - Outpatient Care</t>
  </si>
  <si>
    <t xml:space="preserve">2nd Floor</t>
  </si>
  <si>
    <t xml:space="preserve">Outpatient procedures and staff lockers</t>
  </si>
  <si>
    <t xml:space="preserve">Ward 1A - Reception</t>
  </si>
  <si>
    <t xml:space="preserve">Front desk visitor lockers</t>
  </si>
  <si>
    <t xml:space="preserve">Men's Locker Room</t>
  </si>
  <si>
    <t xml:space="preserve">Ground Floor</t>
  </si>
  <si>
    <t xml:space="preserve">Gym members - men's changing area</t>
  </si>
  <si>
    <t xml:space="preserve">Women's Locker Room</t>
  </si>
  <si>
    <t xml:space="preserve">Gym members - women's changing area</t>
  </si>
  <si>
    <t xml:space="preserve">Main Locker Hall</t>
  </si>
  <si>
    <t xml:space="preserve">Shared locker hall near pool entrance</t>
  </si>
  <si>
    <t xml:space="preserve">Lobby Lockers</t>
  </si>
  <si>
    <t xml:space="preserve">Visitor and courier lockers</t>
  </si>
  <si>
    <t xml:space="preserve">Staff Lounge</t>
  </si>
  <si>
    <t xml:space="preserve">5th Floor</t>
  </si>
  <si>
    <t xml:space="preserve">Employee personal lockers</t>
  </si>
  <si>
    <t xml:space="preserve">Visitor Lockers</t>
  </si>
  <si>
    <t xml:space="preserve">Visitor storage by main entrance</t>
  </si>
  <si>
    <t xml:space="preserve">Table: kiosks</t>
  </si>
  <si>
    <t xml:space="preserve">Layer: 2 - Hardware   |   Type: BASE TABLE   |   Primary key: id</t>
  </si>
  <si>
    <t xml:space="preserve">Kiosk key.</t>
  </si>
  <si>
    <t xml:space="preserve">FK → wards.id</t>
  </si>
  <si>
    <t xml:space="preserve">Ward where the kiosk is installed.</t>
  </si>
  <si>
    <t xml:space="preserve">kiosk_code</t>
  </si>
  <si>
    <t xml:space="preserve">Device code, e.g. KIOSK-3A-01.</t>
  </si>
  <si>
    <t xml:space="preserve">Friendly kiosk name.</t>
  </si>
  <si>
    <t xml:space="preserve">ip_address</t>
  </si>
  <si>
    <t xml:space="preserve">VARCHAR(45)</t>
  </si>
  <si>
    <t xml:space="preserve">IPv4/IPv6 address.</t>
  </si>
  <si>
    <t xml:space="preserve">mac_address</t>
  </si>
  <si>
    <t xml:space="preserve">VARCHAR(17)</t>
  </si>
  <si>
    <t xml:space="preserve">Hardware MAC address.</t>
  </si>
  <si>
    <t xml:space="preserve">app_version</t>
  </si>
  <si>
    <t xml:space="preserve">VARCHAR(20)</t>
  </si>
  <si>
    <t xml:space="preserve">'1.0.0'</t>
  </si>
  <si>
    <t xml:space="preserve">Installed kiosk app version.</t>
  </si>
  <si>
    <t xml:space="preserve">status</t>
  </si>
  <si>
    <t xml:space="preserve">'online'</t>
  </si>
  <si>
    <t xml:space="preserve">CHECK</t>
  </si>
  <si>
    <t xml:space="preserve">online | offline | maintenance.</t>
  </si>
  <si>
    <t xml:space="preserve">last_heartbeat</t>
  </si>
  <si>
    <t xml:space="preserve">Last heartbeat received.</t>
  </si>
  <si>
    <t xml:space="preserve">Many-to-One (N:1), optional; enforced FK: Yes. Kiosk that created the allocation.</t>
  </si>
  <si>
    <t xml:space="preserve">kiosks_pkey</t>
  </si>
  <si>
    <t xml:space="preserve">kiosks_kiosk_code_key</t>
  </si>
  <si>
    <t xml:space="preserve">Kiosk code globally unique.</t>
  </si>
  <si>
    <t xml:space="preserve">kiosks_status_check</t>
  </si>
  <si>
    <t xml:space="preserve">status IN ('online','offline','maintenance')</t>
  </si>
  <si>
    <t xml:space="preserve">Valid kiosk states.</t>
  </si>
  <si>
    <t xml:space="preserve">idx_kiosks_ward_code</t>
  </si>
  <si>
    <t xml:space="preserve">B-tree</t>
  </si>
  <si>
    <t xml:space="preserve">(ward_id, kiosk_code)</t>
  </si>
  <si>
    <t xml:space="preserve">Kiosk lookups by ward and code.</t>
  </si>
  <si>
    <t xml:space="preserve">KIOSK-3A-01</t>
  </si>
  <si>
    <t xml:space="preserve">Ward 3A Main Entrance Terminal</t>
  </si>
  <si>
    <t xml:space="preserve">192.168.1.101</t>
  </si>
  <si>
    <t xml:space="preserve">A4:CF:12:11:23:35</t>
  </si>
  <si>
    <t xml:space="preserve">1.2.0</t>
  </si>
  <si>
    <t xml:space="preserve">online</t>
  </si>
  <si>
    <t xml:space="preserve">KIOSK-1B-01</t>
  </si>
  <si>
    <t xml:space="preserve">ER Waiting Room Terminal</t>
  </si>
  <si>
    <t xml:space="preserve">192.168.1.102</t>
  </si>
  <si>
    <t xml:space="preserve">A4:CF:12:12:26:3A</t>
  </si>
  <si>
    <t xml:space="preserve">1.1.4</t>
  </si>
  <si>
    <t xml:space="preserve">KIOSK-2C-01</t>
  </si>
  <si>
    <t xml:space="preserve">Outpatient Corridor Terminal</t>
  </si>
  <si>
    <t xml:space="preserve">192.168.2.101</t>
  </si>
  <si>
    <t xml:space="preserve">A4:CF:12:13:29:3F</t>
  </si>
  <si>
    <t xml:space="preserve">KIOSK-1A-01</t>
  </si>
  <si>
    <t xml:space="preserve">Reception Desk Terminal</t>
  </si>
  <si>
    <t xml:space="preserve">192.168.2.102</t>
  </si>
  <si>
    <t xml:space="preserve">A4:CF:12:14:2C:44</t>
  </si>
  <si>
    <t xml:space="preserve">maintenance</t>
  </si>
  <si>
    <t xml:space="preserve">KIOSK-GYM-M01</t>
  </si>
  <si>
    <t xml:space="preserve">Men's Locker Room Terminal</t>
  </si>
  <si>
    <t xml:space="preserve">10.20.1.11</t>
  </si>
  <si>
    <t xml:space="preserve">A4:CF:12:15:2F:49</t>
  </si>
  <si>
    <t xml:space="preserve">KIOSK-GYM-W01</t>
  </si>
  <si>
    <t xml:space="preserve">Women's Locker Room Terminal</t>
  </si>
  <si>
    <t xml:space="preserve">10.20.1.12</t>
  </si>
  <si>
    <t xml:space="preserve">A4:CF:12:16:32:4E</t>
  </si>
  <si>
    <t xml:space="preserve">KIOSK-DEN-01</t>
  </si>
  <si>
    <t xml:space="preserve">Denver Main Hall Terminal</t>
  </si>
  <si>
    <t xml:space="preserve">10.30.1.11</t>
  </si>
  <si>
    <t xml:space="preserve">A4:CF:12:17:35:53</t>
  </si>
  <si>
    <t xml:space="preserve">KIOSK-CHI-L01</t>
  </si>
  <si>
    <t xml:space="preserve">Chicago Lobby Terminal</t>
  </si>
  <si>
    <t xml:space="preserve">172.16.5.21</t>
  </si>
  <si>
    <t xml:space="preserve">A4:CF:12:18:38:58</t>
  </si>
  <si>
    <t xml:space="preserve">KIOSK-CHI-S01</t>
  </si>
  <si>
    <t xml:space="preserve">Chicago Staff Lounge Terminal</t>
  </si>
  <si>
    <t xml:space="preserve">172.16.5.22</t>
  </si>
  <si>
    <t xml:space="preserve">A4:CF:12:19:3B:5D</t>
  </si>
  <si>
    <t xml:space="preserve">offline</t>
  </si>
  <si>
    <t xml:space="preserve">KIOSK-SEA-V01</t>
  </si>
  <si>
    <t xml:space="preserve">Seattle Visitor Terminal</t>
  </si>
  <si>
    <t xml:space="preserve">172.16.8.31</t>
  </si>
  <si>
    <t xml:space="preserve">A4:CF:12:1A:3E:62</t>
  </si>
  <si>
    <t xml:space="preserve">Table: lockers</t>
  </si>
  <si>
    <t xml:space="preserve">Locker key.</t>
  </si>
  <si>
    <t xml:space="preserve">Ward containing the locker.</t>
  </si>
  <si>
    <t xml:space="preserve">locker_number</t>
  </si>
  <si>
    <t xml:space="preserve">UQ (ward_id, locker_number)</t>
  </si>
  <si>
    <t xml:space="preserve">Human label, e.g. L-101.</t>
  </si>
  <si>
    <t xml:space="preserve">'available'</t>
  </si>
  <si>
    <t xml:space="preserve">available | occupied | unlocked | maintenance | offline.</t>
  </si>
  <si>
    <t xml:space="preserve">relay_channel</t>
  </si>
  <si>
    <t xml:space="preserve">Relay output index on controller board (1-32).</t>
  </si>
  <si>
    <t xml:space="preserve">battery_level</t>
  </si>
  <si>
    <t xml:space="preserve">0-100 %.</t>
  </si>
  <si>
    <t xml:space="preserve">rssi</t>
  </si>
  <si>
    <t xml:space="preserve">Signal strength in dBm (-30 to -100).</t>
  </si>
  <si>
    <t xml:space="preserve">firmware_version</t>
  </si>
  <si>
    <t xml:space="preserve">VARCHAR(30)</t>
  </si>
  <si>
    <t xml:space="preserve">Controller firmware.</t>
  </si>
  <si>
    <t xml:space="preserve">Last IoT heartbeat.</t>
  </si>
  <si>
    <t xml:space="preserve">is_enabled</t>
  </si>
  <si>
    <t xml:space="preserve">Enable/disable the compartment.</t>
  </si>
  <si>
    <t xml:space="preserve">notes</t>
  </si>
  <si>
    <t xml:space="preserve">Free-text notes.</t>
  </si>
  <si>
    <t xml:space="preserve">Many-to-One (N:1); enforced FK: Yes. A locker has many allocation sessions over time (max 1 active).</t>
  </si>
  <si>
    <t xml:space="preserve">Many-to-One (N:1); enforced FK: Yes. A locker has many tickets.</t>
  </si>
  <si>
    <t xml:space="preserve">Many-to-One (N:1); enforced FK: No (logical). No FK because of partitioning / write throughput.</t>
  </si>
  <si>
    <t xml:space="preserve">lockers_pkey</t>
  </si>
  <si>
    <t xml:space="preserve">uq_ward_locker_number</t>
  </si>
  <si>
    <t xml:space="preserve">(ward_id, locker_number)</t>
  </si>
  <si>
    <t xml:space="preserve">Locker number unique per ward.</t>
  </si>
  <si>
    <t xml:space="preserve">lockers_status_check</t>
  </si>
  <si>
    <t xml:space="preserve">status IN ('available','occupied','unlocked','maintenance','offline')</t>
  </si>
  <si>
    <t xml:space="preserve">Valid locker states.</t>
  </si>
  <si>
    <t xml:space="preserve">lockers_battery_level_check</t>
  </si>
  <si>
    <t xml:space="preserve">battery_level BETWEEN 0 AND 100</t>
  </si>
  <si>
    <t xml:space="preserve">Battery percentage range.</t>
  </si>
  <si>
    <t xml:space="preserve">idx_lockers_ward_status</t>
  </si>
  <si>
    <t xml:space="preserve">(ward_id, status)</t>
  </si>
  <si>
    <t xml:space="preserve">Find first available locker in a ward quickly.</t>
  </si>
  <si>
    <t xml:space="preserve">5. SAMPLE (DUMMY) DATA - 39 rows</t>
  </si>
  <si>
    <t xml:space="preserve">L-101</t>
  </si>
  <si>
    <t xml:space="preserve">available</t>
  </si>
  <si>
    <t xml:space="preserve">1.1.0</t>
  </si>
  <si>
    <t xml:space="preserve">L-102</t>
  </si>
  <si>
    <t xml:space="preserve">occupied</t>
  </si>
  <si>
    <t xml:space="preserve">1.0.2</t>
  </si>
  <si>
    <t xml:space="preserve">L-103</t>
  </si>
  <si>
    <t xml:space="preserve">L-104</t>
  </si>
  <si>
    <t xml:space="preserve">L-105</t>
  </si>
  <si>
    <t xml:space="preserve">Scheduled latch inspection &amp; battery replacement</t>
  </si>
  <si>
    <t xml:space="preserve">L-201</t>
  </si>
  <si>
    <t xml:space="preserve">L-202</t>
  </si>
  <si>
    <t xml:space="preserve">L-203</t>
  </si>
  <si>
    <t xml:space="preserve">L-204</t>
  </si>
  <si>
    <t xml:space="preserve">L-205</t>
  </si>
  <si>
    <t xml:space="preserve">unlocked</t>
  </si>
  <si>
    <t xml:space="preserve">Left unlocked after latch repair - awaiting verification</t>
  </si>
  <si>
    <t xml:space="preserve">L-301</t>
  </si>
  <si>
    <t xml:space="preserve">L-302</t>
  </si>
  <si>
    <t xml:space="preserve">L-303</t>
  </si>
  <si>
    <t xml:space="preserve">L-304</t>
  </si>
  <si>
    <t xml:space="preserve">No heartbeat since 12 Oct; check controller power</t>
  </si>
  <si>
    <t xml:space="preserve">L-401</t>
  </si>
  <si>
    <t xml:space="preserve">L-402</t>
  </si>
  <si>
    <t xml:space="preserve">L-403</t>
  </si>
  <si>
    <t xml:space="preserve">L-501</t>
  </si>
  <si>
    <t xml:space="preserve">L-502</t>
  </si>
  <si>
    <t xml:space="preserve">L-503</t>
  </si>
  <si>
    <t xml:space="preserve">L-504</t>
  </si>
  <si>
    <t xml:space="preserve">L-601</t>
  </si>
  <si>
    <t xml:space="preserve">L-602</t>
  </si>
  <si>
    <t xml:space="preserve">L-603</t>
  </si>
  <si>
    <t xml:space="preserve">L-604</t>
  </si>
  <si>
    <t xml:space="preserve">L-701</t>
  </si>
  <si>
    <t xml:space="preserve">L-702</t>
  </si>
  <si>
    <t xml:space="preserve">L-703</t>
  </si>
  <si>
    <t xml:space="preserve">L-704</t>
  </si>
  <si>
    <t xml:space="preserve">Door sensor not reporting closed state</t>
  </si>
  <si>
    <t xml:space="preserve">L-801</t>
  </si>
  <si>
    <t xml:space="preserve">L-802</t>
  </si>
  <si>
    <t xml:space="preserve">L-803</t>
  </si>
  <si>
    <t xml:space="preserve">L-804</t>
  </si>
  <si>
    <t xml:space="preserve">L-901</t>
  </si>
  <si>
    <t xml:space="preserve">L-902</t>
  </si>
  <si>
    <t xml:space="preserve">L-903</t>
  </si>
  <si>
    <t xml:space="preserve">L-1001</t>
  </si>
  <si>
    <t xml:space="preserve">L-1002</t>
  </si>
  <si>
    <t xml:space="preserve">L-1003</t>
  </si>
  <si>
    <t xml:space="preserve">Table: employees</t>
  </si>
  <si>
    <t xml:space="preserve">Layer: 3 - Users &amp; RBAC   |   Type: BASE TABLE   |   Primary key: id</t>
  </si>
  <si>
    <t xml:space="preserve">Employee key.</t>
  </si>
  <si>
    <t xml:space="preserve">Employer tenant.</t>
  </si>
  <si>
    <t xml:space="preserve">Home branch (NULL = company-wide).</t>
  </si>
  <si>
    <t xml:space="preserve">Full name.</t>
  </si>
  <si>
    <t xml:space="preserve">email</t>
  </si>
  <si>
    <t xml:space="preserve">VARCHAR(255)</t>
  </si>
  <si>
    <t xml:space="preserve">Login identifier (globally unique).</t>
  </si>
  <si>
    <t xml:space="preserve">password_hash</t>
  </si>
  <si>
    <t xml:space="preserve">Bcrypt password hash.</t>
  </si>
  <si>
    <t xml:space="preserve">role</t>
  </si>
  <si>
    <t xml:space="preserve">'staff'</t>
  </si>
  <si>
    <t xml:space="preserve">super_admin | company_admin | branch_admin | staff | technician.</t>
  </si>
  <si>
    <t xml:space="preserve">phone</t>
  </si>
  <si>
    <t xml:space="preserve">Contact number.</t>
  </si>
  <si>
    <t xml:space="preserve">Account enabled flag.</t>
  </si>
  <si>
    <t xml:space="preserve">last_login_at</t>
  </si>
  <si>
    <t xml:space="preserve">Last successful login.</t>
  </si>
  <si>
    <t xml:space="preserve">Many-to-One (N:1), optional; enforced FK: Yes. Employee who released the locker.</t>
  </si>
  <si>
    <t xml:space="preserve">Many-to-One (N:1), optional; enforced FK: Yes. Employee who reported.</t>
  </si>
  <si>
    <t xml:space="preserve">Many-to-One (N:1), optional; enforced FK: Yes. Technician assigned.</t>
  </si>
  <si>
    <t xml:space="preserve">Many-to-One (N:1), optional; enforced FK: No (logical). Employee who triggered the event.</t>
  </si>
  <si>
    <t xml:space="preserve">employees_pkey</t>
  </si>
  <si>
    <t xml:space="preserve">employees_email_key</t>
  </si>
  <si>
    <t xml:space="preserve">Email globally unique.</t>
  </si>
  <si>
    <t xml:space="preserve">employees_role_check</t>
  </si>
  <si>
    <t xml:space="preserve">role IN ('super_admin','company_admin','branch_admin','staff','technician')</t>
  </si>
  <si>
    <t xml:space="preserve">RBAC roles.</t>
  </si>
  <si>
    <t xml:space="preserve">idx_employees_email</t>
  </si>
  <si>
    <t xml:space="preserve">(email)</t>
  </si>
  <si>
    <t xml:space="preserve">Login lookup (duplicates the UNIQUE index on email).</t>
  </si>
  <si>
    <t xml:space="preserve">idx_employees_branch</t>
  </si>
  <si>
    <t xml:space="preserve">(branch_id)</t>
  </si>
  <si>
    <t xml:space="preserve">List employees per branch.</t>
  </si>
  <si>
    <t xml:space="preserve">5. SAMPLE (DUMMY) DATA - 12 rows</t>
  </si>
  <si>
    <t xml:space="preserve">Sarah Connor</t>
  </si>
  <si>
    <t xml:space="preserve">admin@lockers.local</t>
  </si>
  <si>
    <t xml:space="preserve">$2b$10$w5K/5RDfSHGSn.rjo9vC3uz4wTbTGmGiCdykN8hjie8wKoXd3SjV2</t>
  </si>
  <si>
    <t xml:space="preserve">super_admin</t>
  </si>
  <si>
    <t xml:space="preserve">+1-555-0201</t>
  </si>
  <si>
    <t xml:space="preserve">Michael Scott</t>
  </si>
  <si>
    <t xml:space="preserve">branch@lockers.local</t>
  </si>
  <si>
    <t xml:space="preserve">$2b$10$svYlWp.cx9ZqulRG8TxePeOZPwEEQycCOmZP0P0Kc6ue1grWE7We.</t>
  </si>
  <si>
    <t xml:space="preserve">branch_admin</t>
  </si>
  <si>
    <t xml:space="preserve">+1-555-0202</t>
  </si>
  <si>
    <t xml:space="preserve">Pam Beesly</t>
  </si>
  <si>
    <t xml:space="preserve">staff@lockers.local</t>
  </si>
  <si>
    <t xml:space="preserve">$2b$10$qnaEyFFSXpHvcp48KEVcluEYEwZRFS49QLwN9FVhVS8wqWEp2.SO6</t>
  </si>
  <si>
    <t xml:space="preserve">staff</t>
  </si>
  <si>
    <t xml:space="preserve">+1-555-0203</t>
  </si>
  <si>
    <t xml:space="preserve">Dwight Schrute</t>
  </si>
  <si>
    <t xml:space="preserve">dwight.schrute@lockers.local</t>
  </si>
  <si>
    <t xml:space="preserve">$2b$10$3/Hb7RXcvETHoqURviIYluC/g/6lc3hgghSE0o0MacRrT02HzlC76</t>
  </si>
  <si>
    <t xml:space="preserve">+1-555-0204</t>
  </si>
  <si>
    <t xml:space="preserve">Ryan Howard</t>
  </si>
  <si>
    <t xml:space="preserve">ryan.howard@lockers.local</t>
  </si>
  <si>
    <t xml:space="preserve">$2b$10$R.6TtWRHqtHRjeCn3yBoHOifvl3PCHgVt7CHo4Ej.Gh75AO748A3a</t>
  </si>
  <si>
    <t xml:space="preserve">technician</t>
  </si>
  <si>
    <t xml:space="preserve">+1-555-0205</t>
  </si>
  <si>
    <t xml:space="preserve">Jim Halpert</t>
  </si>
  <si>
    <t xml:space="preserve">jim.halpert@lockers.local</t>
  </si>
  <si>
    <t xml:space="preserve">$2b$10$IPAYX0ByWRoz4BvfbfZeBecjTNqgoxWXh2vyJxRPGZLZyYUGBArwO</t>
  </si>
  <si>
    <t xml:space="preserve">+1-555-0206</t>
  </si>
  <si>
    <t xml:space="preserve">Angela Martin</t>
  </si>
  <si>
    <t xml:space="preserve">angela.martin@lockers.local</t>
  </si>
  <si>
    <t xml:space="preserve">$2b$10$XkNq4GG81ndy//UJForH9esbDLc5pxamT7dGX18zBriS.1YDCcHIa</t>
  </si>
  <si>
    <t xml:space="preserve">+1-555-0207</t>
  </si>
  <si>
    <t xml:space="preserve">Kevin Malone</t>
  </si>
  <si>
    <t xml:space="preserve">kevin.malone@lockers.local</t>
  </si>
  <si>
    <t xml:space="preserve">$2b$10$E.p3PIQr.Uicl.MPgUyerOQ3AwV633.QZhwKYyQpYMNzZCglzGrrO</t>
  </si>
  <si>
    <t xml:space="preserve">company_admin</t>
  </si>
  <si>
    <t xml:space="preserve">+1-555-0208</t>
  </si>
  <si>
    <t xml:space="preserve">Oscar Martinez</t>
  </si>
  <si>
    <t xml:space="preserve">oscar.martinez@lockers.local</t>
  </si>
  <si>
    <t xml:space="preserve">$2b$10$9jqOrTzZImQ78PoG5.CGw.nKWNEyq6d.vZvoQRPmqKwN1Nx5wKM8a</t>
  </si>
  <si>
    <t xml:space="preserve">+1-555-0209</t>
  </si>
  <si>
    <t xml:space="preserve">Stanley Hudson</t>
  </si>
  <si>
    <t xml:space="preserve">stanley.hudson@lockers.local</t>
  </si>
  <si>
    <t xml:space="preserve">$2b$10$ODMvCf4PMt3ZRhE1JnDRtOjF9QvwEaOkuqPOVoz6kljOC.tXV8GLu</t>
  </si>
  <si>
    <t xml:space="preserve">+1-555-0210</t>
  </si>
  <si>
    <t xml:space="preserve">Creed Bratton</t>
  </si>
  <si>
    <t xml:space="preserve">creed.bratton@lockers.local</t>
  </si>
  <si>
    <t xml:space="preserve">$2b$10$y8GEc8aQLRngKaM9g.edU.cr6aKIHhXPoLIjGOBpK//TSf6KX1sXi</t>
  </si>
  <si>
    <t xml:space="preserve">+1-555-0211</t>
  </si>
  <si>
    <t xml:space="preserve">Toby Flenderson</t>
  </si>
  <si>
    <t xml:space="preserve">toby.flenderson@lockers.local</t>
  </si>
  <si>
    <t xml:space="preserve">$2b$10$S.tIcARD0GDgNkJzVnsvteT2TSMuucLouMr9.sQqQk8EYEp47iFi6</t>
  </si>
  <si>
    <t xml:space="preserve">Table: locker_allocations</t>
  </si>
  <si>
    <t xml:space="preserve">Layer: 4 - Sessions   |   Type: BASE TABLE   |   Primary key: id</t>
  </si>
  <si>
    <t xml:space="preserve">BIGSERIAL</t>
  </si>
  <si>
    <t xml:space="preserve">Allocation session key.</t>
  </si>
  <si>
    <t xml:space="preserve">FK → lockers.id</t>
  </si>
  <si>
    <t xml:space="preserve">Locker used in this session.</t>
  </si>
  <si>
    <t xml:space="preserve">Ward (denormalized copy for fast filtering).</t>
  </si>
  <si>
    <t xml:space="preserve">FK → kiosks.id</t>
  </si>
  <si>
    <t xml:space="preserve">occupant_name</t>
  </si>
  <si>
    <t xml:space="preserve">Person using the locker (PII).</t>
  </si>
  <si>
    <t xml:space="preserve">occupant_phone</t>
  </si>
  <si>
    <t xml:space="preserve">Occupant phone (PII).</t>
  </si>
  <si>
    <t xml:space="preserve">pin_hash</t>
  </si>
  <si>
    <t xml:space="preserve">Hashed access PIN.</t>
  </si>
  <si>
    <t xml:space="preserve">snapshot_path</t>
  </si>
  <si>
    <t xml:space="preserve">VARCHAR(500)</t>
  </si>
  <si>
    <t xml:space="preserve">Path/URL of camera photo (PII - auto-purge).</t>
  </si>
  <si>
    <t xml:space="preserve">'active'</t>
  </si>
  <si>
    <t xml:space="preserve">active | completed | cancelled | forced_override | expired.</t>
  </si>
  <si>
    <t xml:space="preserve">allocated_at</t>
  </si>
  <si>
    <t xml:space="preserve">Session start.</t>
  </si>
  <si>
    <t xml:space="preserve">released_at</t>
  </si>
  <si>
    <t xml:space="preserve">Session end.</t>
  </si>
  <si>
    <t xml:space="preserve">released_by_type</t>
  </si>
  <si>
    <t xml:space="preserve">occupant_pin | staff_override | timeout_auto | admin_remote.</t>
  </si>
  <si>
    <t xml:space="preserve">FK → employees.id</t>
  </si>
  <si>
    <t xml:space="preserve">Staff member who released it, if any.</t>
  </si>
  <si>
    <t xml:space="preserve">release_notes</t>
  </si>
  <si>
    <t xml:space="preserve">Notes on release.</t>
  </si>
  <si>
    <t xml:space="preserve">Many-to-One (N:1), optional; enforced FK: No (logical). Event tied to an allocation session.</t>
  </si>
  <si>
    <t xml:space="preserve">locker_allocations_pkey</t>
  </si>
  <si>
    <t xml:space="preserve">locker_allocations_status_check</t>
  </si>
  <si>
    <t xml:space="preserve">status IN ('active','completed','cancelled','forced_override','expired')</t>
  </si>
  <si>
    <t xml:space="preserve">Session states.</t>
  </si>
  <si>
    <t xml:space="preserve">locker_allocations_released_by_type_check</t>
  </si>
  <si>
    <t xml:space="preserve">released_by_type IN ('occupant_pin','staff_override','timeout_auto','admin_remote')</t>
  </si>
  <si>
    <t xml:space="preserve">How a locker was released.</t>
  </si>
  <si>
    <t xml:space="preserve">uq_active_locker_allocation</t>
  </si>
  <si>
    <t xml:space="preserve">B-tree, UNIQUE, partial</t>
  </si>
  <si>
    <t xml:space="preserve">(locker_id) WHERE status='active'</t>
  </si>
  <si>
    <t xml:space="preserve">Enforces one active allocation per locker.</t>
  </si>
  <si>
    <t xml:space="preserve">idx_allocations_active_lookup</t>
  </si>
  <si>
    <t xml:space="preserve">B-tree, partial</t>
  </si>
  <si>
    <t xml:space="preserve">(locker_id, status) WHERE status='active'</t>
  </si>
  <si>
    <t xml:space="preserve">Active allocation lookup (overlaps with the unique partial index).</t>
  </si>
  <si>
    <t xml:space="preserve">idx_allocations_phone</t>
  </si>
  <si>
    <t xml:space="preserve">(occupant_phone)</t>
  </si>
  <si>
    <t xml:space="preserve">Search allocations by phone.</t>
  </si>
  <si>
    <t xml:space="preserve">5. SAMPLE (DUMMY) DATA - 25 rows</t>
  </si>
  <si>
    <t xml:space="preserve">John Doe</t>
  </si>
  <si>
    <t xml:space="preserve">+1-555-0102</t>
  </si>
  <si>
    <t xml:space="preserve">$2b$10$67DZxWA/Jt7dK./Y1LZRTOp/LKky/nEsCJ5GT4f5jtTGmj6YpNZFW</t>
  </si>
  <si>
    <t xml:space="preserve">/snapshots/2026/10/14/alloc_1.jpg</t>
  </si>
  <si>
    <t xml:space="preserve">active</t>
  </si>
  <si>
    <t xml:space="preserve">Alice Smith</t>
  </si>
  <si>
    <t xml:space="preserve">$2b$10$LEHB9xjix2HfaSg0QyP59OdJAYJyjKB/.QPckjI2GE5Ug0oCi7GOG</t>
  </si>
  <si>
    <t xml:space="preserve">/snapshots/2026/10/14/alloc_2.jpg</t>
  </si>
  <si>
    <t xml:space="preserve">Robert Taylor</t>
  </si>
  <si>
    <t xml:space="preserve">$2b$10$OKcf1pxU.fXspcTWFFWaRe4eIwRGUwTkHT2ZMcirCKusnEDSGpeWO</t>
  </si>
  <si>
    <t xml:space="preserve">/snapshots/2026/10/14/alloc_3.jpg</t>
  </si>
  <si>
    <t xml:space="preserve">Charlotte Hall</t>
  </si>
  <si>
    <t xml:space="preserve">+1-555-0302</t>
  </si>
  <si>
    <t xml:space="preserve">$2b$10$ZQmrppgsNw0rNDp4rswO7.4wacPGtLGJ7KKHIPOh3CGhcEqhsyg6i</t>
  </si>
  <si>
    <t xml:space="preserve">/snapshots/2026/10/14/alloc_4.jpg</t>
  </si>
  <si>
    <t xml:space="preserve">Daniel Allen</t>
  </si>
  <si>
    <t xml:space="preserve">$2b$10$wWHq.LifVsusoQFaLx3uKeF47n1aG4xcLdsNUDFOIisLz7OEJZNNC</t>
  </si>
  <si>
    <t xml:space="preserve">/snapshots/2026/10/14/alloc_5.jpg</t>
  </si>
  <si>
    <t xml:space="preserve">Matthew Young</t>
  </si>
  <si>
    <t xml:space="preserve">+1-555-0501</t>
  </si>
  <si>
    <t xml:space="preserve">$2b$10$JSIQ9ObTImON7JQUCYDy.es3jJRZHBV3MpdRC58tZfn9iepRSELTa</t>
  </si>
  <si>
    <t xml:space="preserve">/snapshots/2026/10/14/alloc_6.jpg</t>
  </si>
  <si>
    <t xml:space="preserve">Amelia King</t>
  </si>
  <si>
    <t xml:space="preserve">+1-555-0503</t>
  </si>
  <si>
    <t xml:space="preserve">$2b$10$gatZ7oJTainogYH.L7PTZ.ZJcXNiTUyHwNt27nmqJ/f9E0sQbenS2</t>
  </si>
  <si>
    <t xml:space="preserve">/snapshots/2026/10/14/alloc_7.jpg</t>
  </si>
  <si>
    <t xml:space="preserve">Harper Wright</t>
  </si>
  <si>
    <t xml:space="preserve">+1-555-0602</t>
  </si>
  <si>
    <t xml:space="preserve">$2b$10$8TKbfXXB/q4RtQdnIDHRCezEfT2c2N8Hjic0YZAin7tz2nD8Lv6EC</t>
  </si>
  <si>
    <t xml:space="preserve">/snapshots/2026/10/14/alloc_8.jpg</t>
  </si>
  <si>
    <t xml:space="preserve">Joseph Scott</t>
  </si>
  <si>
    <t xml:space="preserve">+1-555-0701</t>
  </si>
  <si>
    <t xml:space="preserve">$2b$10$3GFLhoAHXgLwvTI8KAzhi.n1SdXwtJaS.EktsNeD.2QznhhfTh9oS</t>
  </si>
  <si>
    <t xml:space="preserve">/snapshots/2026/10/14/alloc_9.jpg</t>
  </si>
  <si>
    <t xml:space="preserve">Evelyn Green</t>
  </si>
  <si>
    <t xml:space="preserve">$2b$10$NN8iaHKFl/Pmi4gmxjXwr.fJUZds5jcvw7oMt9GESXptY.s9oykte</t>
  </si>
  <si>
    <t xml:space="preserve">/snapshots/2026/10/14/alloc_10.jpg</t>
  </si>
  <si>
    <t xml:space="preserve">David Baker</t>
  </si>
  <si>
    <t xml:space="preserve">+1-555-0901</t>
  </si>
  <si>
    <t xml:space="preserve">$2b$10$fQS6YcthrWVJ/3A2dJJUROdodMfAnTYeBWKzp2uo3YpItT.XiNgWW</t>
  </si>
  <si>
    <t xml:space="preserve">/snapshots/2026/10/14/alloc_11.jpg</t>
  </si>
  <si>
    <t xml:space="preserve">Grace Adams</t>
  </si>
  <si>
    <t xml:space="preserve">+1-555-1002</t>
  </si>
  <si>
    <t xml:space="preserve">$2b$10$kV5friIvhK.zMGKSACiTy.e/xRlYJHO24sVCPL9IkY.92ER07LBCe</t>
  </si>
  <si>
    <t xml:space="preserve">/snapshots/2026/10/14/alloc_12.jpg</t>
  </si>
  <si>
    <t xml:space="preserve">Liam Johnson</t>
  </si>
  <si>
    <t xml:space="preserve">+1-555-0101</t>
  </si>
  <si>
    <t xml:space="preserve">$2b$10$H7IhYHUr.8KNrGM5JOb9e.ZIWWL4o5Q/lzW5np00sqxmZsRZhSOGq</t>
  </si>
  <si>
    <t xml:space="preserve">/snapshots/2026/10/12/alloc_13.jpg</t>
  </si>
  <si>
    <t xml:space="preserve">completed</t>
  </si>
  <si>
    <t xml:space="preserve">occupant_pin</t>
  </si>
  <si>
    <t xml:space="preserve">Noah Williams</t>
  </si>
  <si>
    <t xml:space="preserve">$2b$10$7rV9XV/SlOUwjBsiXKr28.HnLqzdFtXsLAYMd8zcGLjAC59JBmS7m</t>
  </si>
  <si>
    <t xml:space="preserve">/snapshots/2026/10/13/alloc_14.jpg</t>
  </si>
  <si>
    <t xml:space="preserve">Emma Brown</t>
  </si>
  <si>
    <t xml:space="preserve">+1-555-0103</t>
  </si>
  <si>
    <t xml:space="preserve">$2b$10$HHXJIR.01xcKfIdMe1bAeumDEZ25nIAosHplFzcIdasYk3UQD40Z6</t>
  </si>
  <si>
    <t xml:space="preserve">cancelled</t>
  </si>
  <si>
    <t xml:space="preserve">admin_remote</t>
  </si>
  <si>
    <t xml:space="preserve">Registered by mistake; cancelled by admin</t>
  </si>
  <si>
    <t xml:space="preserve">Olivia Davis</t>
  </si>
  <si>
    <t xml:space="preserve">$2b$10$OsErT8Pk3S0kIlDmkYR93OFL.pvZGRFYdhJK1PIsJ9GxAOoe0TEYK</t>
  </si>
  <si>
    <t xml:space="preserve">/snapshots/2026/10/12/alloc_16.jpg</t>
  </si>
  <si>
    <t xml:space="preserve">expired</t>
  </si>
  <si>
    <t xml:space="preserve">timeout_auto</t>
  </si>
  <si>
    <t xml:space="preserve">Max occupancy hours reached; auto-released</t>
  </si>
  <si>
    <t xml:space="preserve">Ava Miller</t>
  </si>
  <si>
    <t xml:space="preserve">$2b$10$uQ3rKlSROGWknJCTVHmWiOoK1qD0XfJyoY38eJVJahpfvtYiRHyAy</t>
  </si>
  <si>
    <t xml:space="preserve">/snapshots/2026/10/13/alloc_17.jpg</t>
  </si>
  <si>
    <t xml:space="preserve">forced_override</t>
  </si>
  <si>
    <t xml:space="preserve">staff_override</t>
  </si>
  <si>
    <t xml:space="preserve">Occupant lost PIN; ID verified by staff</t>
  </si>
  <si>
    <t xml:space="preserve">William Garcia</t>
  </si>
  <si>
    <t xml:space="preserve">+1-555-0301</t>
  </si>
  <si>
    <t xml:space="preserve">$2b$10$8cX5L3GrKDth.Nk4cU1NbuBBpmEXOmq3UrrtpH/BBPbspuFxR.5jq</t>
  </si>
  <si>
    <t xml:space="preserve">/snapshots/2026/10/12/alloc_18.jpg</t>
  </si>
  <si>
    <t xml:space="preserve">Sophia Martinez</t>
  </si>
  <si>
    <t xml:space="preserve">+1-555-0303</t>
  </si>
  <si>
    <t xml:space="preserve">$2b$10$BYIrG3VuV/VKVN13IP0dleNqdNWICNwJTboGghDlsLUxXt7xE9nMq</t>
  </si>
  <si>
    <t xml:space="preserve">/snapshots/2026/10/13/alloc_19.jpg</t>
  </si>
  <si>
    <t xml:space="preserve">James Rodriguez</t>
  </si>
  <si>
    <t xml:space="preserve">+1-555-0401</t>
  </si>
  <si>
    <t xml:space="preserve">$2b$10$SmAk6KMOYo1xWPOqbkGYR.FfYEjeS8YIj4NIzY1qkZOEEQoOXKAbK</t>
  </si>
  <si>
    <t xml:space="preserve">/snapshots/2026/10/10/alloc_20.jpg</t>
  </si>
  <si>
    <t xml:space="preserve">Isabella Lopez</t>
  </si>
  <si>
    <t xml:space="preserve">+1-555-0502</t>
  </si>
  <si>
    <t xml:space="preserve">$2b$10$k20DHGyjFd9g2NCJINRvfOOWYxB9DlbrWaz04BgYqdheU9NGTsnDm</t>
  </si>
  <si>
    <t xml:space="preserve">/snapshots/2026/10/13/alloc_21.jpg</t>
  </si>
  <si>
    <t xml:space="preserve">Benjamin Wilson</t>
  </si>
  <si>
    <t xml:space="preserve">+1-555-0601</t>
  </si>
  <si>
    <t xml:space="preserve">$2b$10$37axNr4XjqKxtgREXk3IJ.FkmhmZZV1SjGWRP7JtcRuuvamO7ZGay</t>
  </si>
  <si>
    <t xml:space="preserve">/snapshots/2026/10/12/alloc_22.jpg</t>
  </si>
  <si>
    <t xml:space="preserve">Mia Anderson</t>
  </si>
  <si>
    <t xml:space="preserve">+1-555-0702</t>
  </si>
  <si>
    <t xml:space="preserve">$2b$10$igExsHTHQGsNSGzdD9RLPesPkZvq4bs7TK13ViYpF4WSxHio8BhEO</t>
  </si>
  <si>
    <t xml:space="preserve">Lucas Thomas</t>
  </si>
  <si>
    <t xml:space="preserve">+1-555-0803</t>
  </si>
  <si>
    <t xml:space="preserve">$2b$10$sVRAW.N2aPdhRslEIH3Juec8DL3CiNLFj/bbO8YLpo8JIOwXYuhBm</t>
  </si>
  <si>
    <t xml:space="preserve">/snapshots/2026/10/13/alloc_24.jpg</t>
  </si>
  <si>
    <t xml:space="preserve">Henry Moore</t>
  </si>
  <si>
    <t xml:space="preserve">$2b$10$45pa17KXLJhh/30ltWDgw.gt3qSn/u1EzZWcf4x3YhuDUb0dTDZFK</t>
  </si>
  <si>
    <t xml:space="preserve">/snapshots/2026/10/13/alloc_25.jpg</t>
  </si>
  <si>
    <t xml:space="preserve">Table: maintenance_tickets</t>
  </si>
  <si>
    <t xml:space="preserve">Layer: 5 - Maintenance   |   Type: BASE TABLE   |   Primary key: id</t>
  </si>
  <si>
    <t xml:space="preserve">Ticket key.</t>
  </si>
  <si>
    <t xml:space="preserve">Faulty locker.</t>
  </si>
  <si>
    <t xml:space="preserve">Reporter.</t>
  </si>
  <si>
    <t xml:space="preserve">Assigned technician.</t>
  </si>
  <si>
    <t xml:space="preserve">issue_type</t>
  </si>
  <si>
    <t xml:space="preserve">stuck_latch | relay_failure | sensor_fault | low_battery | physical_damage | connectivity_offline | other.</t>
  </si>
  <si>
    <t xml:space="preserve">severity</t>
  </si>
  <si>
    <t xml:space="preserve">'medium'</t>
  </si>
  <si>
    <t xml:space="preserve">low | medium | high | critical.</t>
  </si>
  <si>
    <t xml:space="preserve">'open'</t>
  </si>
  <si>
    <t xml:space="preserve">open | in_progress | resolved | closed.</t>
  </si>
  <si>
    <t xml:space="preserve">Problem description.</t>
  </si>
  <si>
    <t xml:space="preserve">resolution_notes</t>
  </si>
  <si>
    <t xml:space="preserve">How it was resolved.</t>
  </si>
  <si>
    <t xml:space="preserve">Ticket opened.</t>
  </si>
  <si>
    <t xml:space="preserve">resolved_at</t>
  </si>
  <si>
    <t xml:space="preserve">Ticket resolved.</t>
  </si>
  <si>
    <t xml:space="preserve">maintenance_tickets_pkey</t>
  </si>
  <si>
    <t xml:space="preserve">maintenance_tickets_issue_type_check</t>
  </si>
  <si>
    <t xml:space="preserve">issue_type IN (stuck_latch, relay_failure, sensor_fault, low_battery, physical_damage, connectivity_offline, other)</t>
  </si>
  <si>
    <t xml:space="preserve">Issue categories.</t>
  </si>
  <si>
    <t xml:space="preserve">maintenance_tickets_severity_check</t>
  </si>
  <si>
    <t xml:space="preserve">severity IN ('low','medium','high','critical')</t>
  </si>
  <si>
    <t xml:space="preserve">Severity levels.</t>
  </si>
  <si>
    <t xml:space="preserve">maintenance_tickets_status_check</t>
  </si>
  <si>
    <t xml:space="preserve">status IN ('open','in_progress','resolved','closed')</t>
  </si>
  <si>
    <t xml:space="preserve">Ticket workflow.</t>
  </si>
  <si>
    <t xml:space="preserve">5. SAMPLE (DUMMY) DATA - 8 rows</t>
  </si>
  <si>
    <t xml:space="preserve">low_battery</t>
  </si>
  <si>
    <t xml:space="preserve">medium</t>
  </si>
  <si>
    <t xml:space="preserve">in_progress</t>
  </si>
  <si>
    <t xml:space="preserve">Battery at 42% and latch needs inspection</t>
  </si>
  <si>
    <t xml:space="preserve">connectivity_offline</t>
  </si>
  <si>
    <t xml:space="preserve">high</t>
  </si>
  <si>
    <t xml:space="preserve">open</t>
  </si>
  <si>
    <t xml:space="preserve">Locker controller has stopped sending heartbeats</t>
  </si>
  <si>
    <t xml:space="preserve">sensor_fault</t>
  </si>
  <si>
    <t xml:space="preserve">Door closed sensor intermittently reports open</t>
  </si>
  <si>
    <t xml:space="preserve">stuck_latch</t>
  </si>
  <si>
    <t xml:space="preserve">critical</t>
  </si>
  <si>
    <t xml:space="preserve">resolved</t>
  </si>
  <si>
    <t xml:space="preserve">Latch jammed after forced override; door would not re-lock</t>
  </si>
  <si>
    <t xml:space="preserve">Replaced latch spring and re-calibrated relay</t>
  </si>
  <si>
    <t xml:space="preserve">relay_failure</t>
  </si>
  <si>
    <t xml:space="preserve">closed</t>
  </si>
  <si>
    <t xml:space="preserve">Relay channel 2 not firing on unlock command</t>
  </si>
  <si>
    <t xml:space="preserve">Swapped relay module, tested 20 cycles</t>
  </si>
  <si>
    <t xml:space="preserve">physical_damage</t>
  </si>
  <si>
    <t xml:space="preserve">low</t>
  </si>
  <si>
    <t xml:space="preserve">Dent on locker door panel</t>
  </si>
  <si>
    <t xml:space="preserve">Panel straightened; cosmetic only</t>
  </si>
  <si>
    <t xml:space="preserve">Occupancy sensor reports false positives</t>
  </si>
  <si>
    <t xml:space="preserve">other</t>
  </si>
  <si>
    <t xml:space="preserve">Locker number sticker peeling off</t>
  </si>
  <si>
    <t xml:space="preserve">Table: locker_events</t>
  </si>
  <si>
    <t xml:space="preserve">High-volume event log, RANGE-partitioned monthly on created_at. Partitions: 2026_10, 2026_11, 2026_12 + DEFAULT.</t>
  </si>
  <si>
    <t xml:space="preserve">Layer: 6 - Audit / IoT   |   Type: PARTITIONED TABLE   |   Primary key: (id, created_at)</t>
  </si>
  <si>
    <t xml:space="preserve">PK (id, created_at)</t>
  </si>
  <si>
    <t xml:space="preserve">Event key (composite PK required by partitioning).</t>
  </si>
  <si>
    <t xml:space="preserve">Logical → lockers.id</t>
  </si>
  <si>
    <t xml:space="preserve">Locker the event relates to (no enforced FK).</t>
  </si>
  <si>
    <t xml:space="preserve">BIGINT</t>
  </si>
  <si>
    <t xml:space="preserve">Logical → locker_allocations.id</t>
  </si>
  <si>
    <t xml:space="preserve">Related allocation session (no enforced FK).</t>
  </si>
  <si>
    <t xml:space="preserve">event_type</t>
  </si>
  <si>
    <t xml:space="preserve">VARCHAR(60)</t>
  </si>
  <si>
    <t xml:space="preserve">e.g. KIOSK_REGISTRATION, UNLOCK_COMMAND, DEVICE_ACK, DOOR_CLOSED, MANUAL_OVERRIDE.</t>
  </si>
  <si>
    <t xml:space="preserve">source</t>
  </si>
  <si>
    <t xml:space="preserve">'system'</t>
  </si>
  <si>
    <t xml:space="preserve">kiosk | admin | hardware_mqtt | system | cron.</t>
  </si>
  <si>
    <t xml:space="preserve">Logical → employees.id</t>
  </si>
  <si>
    <t xml:space="preserve">Employee who triggered it (no enforced FK).</t>
  </si>
  <si>
    <t xml:space="preserve">details</t>
  </si>
  <si>
    <t xml:space="preserve">'{}'</t>
  </si>
  <si>
    <t xml:space="preserve">Free-form event payload (GIN indexed).</t>
  </si>
  <si>
    <t xml:space="preserve">Event time; RANGE partition key.</t>
  </si>
  <si>
    <t xml:space="preserve">locker_events_pkey</t>
  </si>
  <si>
    <t xml:space="preserve">Composite PK includes partition key.</t>
  </si>
  <si>
    <t xml:space="preserve">locker_events_source_check</t>
  </si>
  <si>
    <t xml:space="preserve">source IN ('kiosk','admin','hardware_mqtt','system','cron')</t>
  </si>
  <si>
    <t xml:space="preserve">Event origin.</t>
  </si>
  <si>
    <t xml:space="preserve">idx_locker_events_created</t>
  </si>
  <si>
    <t xml:space="preserve">(created_at DESC)</t>
  </si>
  <si>
    <t xml:space="preserve">Latest-events queries.</t>
  </si>
  <si>
    <t xml:space="preserve">idx_locker_events_locker_id</t>
  </si>
  <si>
    <t xml:space="preserve">(locker_id)</t>
  </si>
  <si>
    <t xml:space="preserve">Events per locker.</t>
  </si>
  <si>
    <t xml:space="preserve">idx_locker_events_details_gin</t>
  </si>
  <si>
    <t xml:space="preserve">GIN</t>
  </si>
  <si>
    <t xml:space="preserve">USING gin (details)</t>
  </si>
  <si>
    <t xml:space="preserve">Search inside JSONB event payloads.</t>
  </si>
  <si>
    <t xml:space="preserve">5. SAMPLE (DUMMY) DATA - 91 rows</t>
  </si>
  <si>
    <t xml:space="preserve">KIOSK_REGISTRATION</t>
  </si>
  <si>
    <t xml:space="preserve">kiosk</t>
  </si>
  <si>
    <t xml:space="preserve">{"occupant": "Mia Anderson", "phone": "+1-555-0702", "ward": "Main Locker Hall"}</t>
  </si>
  <si>
    <t xml:space="preserve">DEVICE_ACK</t>
  </si>
  <si>
    <t xml:space="preserve">hardware_mqtt</t>
  </si>
  <si>
    <t xml:space="preserve">{"status": "unlocked", "relayFired": true, "batteryLevel": 91}</t>
  </si>
  <si>
    <t xml:space="preserve">PIN_UNLOCK</t>
  </si>
  <si>
    <t xml:space="preserve">{"result": "success", "attempts": 1}</t>
  </si>
  <si>
    <t xml:space="preserve">ALLOCATION_RELEASED</t>
  </si>
  <si>
    <t xml:space="preserve">system</t>
  </si>
  <si>
    <t xml:space="preserve">{"releasedBy": "occupant_pin"}</t>
  </si>
  <si>
    <t xml:space="preserve">{"occupant": "James Rodriguez", "phone": "+1-555-0401", "ward": "Ward 1A - Reception"}</t>
  </si>
  <si>
    <t xml:space="preserve">{"status": "unlocked", "relayFired": true, "batteryLevel": 83}</t>
  </si>
  <si>
    <t xml:space="preserve">{"occupant": "Emma Brown", "phone": "+1-555-0103", "ward": "Ward 3A - Intensive Care"}</t>
  </si>
  <si>
    <t xml:space="preserve">{"status": "unlocked", "relayFired": true, "batteryLevel": 99}</t>
  </si>
  <si>
    <t xml:space="preserve">ALLOCATION_CANCELLED</t>
  </si>
  <si>
    <t xml:space="preserve">admin</t>
  </si>
  <si>
    <t xml:space="preserve">{"reason": "Registered by mistake"}</t>
  </si>
  <si>
    <t xml:space="preserve">HEARTBEAT_LOST</t>
  </si>
  <si>
    <t xml:space="preserve">cron</t>
  </si>
  <si>
    <t xml:space="preserve">{"lastSeen": "2026-10-12T03:15:00Z", "minutesSilent": 5}</t>
  </si>
  <si>
    <t xml:space="preserve">{"occupant": "Liam Johnson", "phone": "+1-555-0101", "ward": "Ward 3A - Intensive Care"}</t>
  </si>
  <si>
    <t xml:space="preserve">{"status": "unlocked", "relayFired": true, "batteryLevel": 68}</t>
  </si>
  <si>
    <t xml:space="preserve">{"occupant": "William Garcia", "phone": "+1-555-0301", "ward": "Ward 2C - Outpatient Care"}</t>
  </si>
  <si>
    <t xml:space="preserve">{"status": "unlocked", "relayFired": true, "batteryLevel": 63}</t>
  </si>
  <si>
    <t xml:space="preserve">{"occupant": "Olivia Davis", "phone": "+1-555-0201", "ward": "Ward 1B - Emergency Room"}</t>
  </si>
  <si>
    <t xml:space="preserve">{"status": "unlocked", "relayFired": true, "batteryLevel": 88}</t>
  </si>
  <si>
    <t xml:space="preserve">{"occupant": "Benjamin Wilson", "phone": "+1-555-0601", "ward": "Women's Locker Room"}</t>
  </si>
  <si>
    <t xml:space="preserve">{"status": "unlocked", "relayFired": true, "batteryLevel": 78}</t>
  </si>
  <si>
    <t xml:space="preserve">{"occupant": "Isabella Lopez", "phone": "+1-555-0502", "ward": "Men's Locker Room"}</t>
  </si>
  <si>
    <t xml:space="preserve">{"status": "unlocked", "relayFired": true, "batteryLevel": 96}</t>
  </si>
  <si>
    <t xml:space="preserve">LOW_BATTERY_ALERT</t>
  </si>
  <si>
    <t xml:space="preserve">{"batteryLevel": 42, "threshold": 50}</t>
  </si>
  <si>
    <t xml:space="preserve">{"occupant": "Henry Moore", "phone": "+1-555-0102", "ward": "Ward 3A - Intensive Care"}</t>
  </si>
  <si>
    <t xml:space="preserve">MAINTENANCE_FLAG</t>
  </si>
  <si>
    <t xml:space="preserve">{"reason": "Scheduled latch inspection &amp; battery replacement", "technician": "Ryan Howard"}</t>
  </si>
  <si>
    <t xml:space="preserve">{"status": "unlocked", "relayFired": true, "batteryLevel": 61}</t>
  </si>
  <si>
    <t xml:space="preserve">ALLOCATION_EXPIRED</t>
  </si>
  <si>
    <t xml:space="preserve">{"maxOccupancyHours": 24}</t>
  </si>
  <si>
    <t xml:space="preserve">{"occupant": "Lucas Thomas", "phone": "+1-555-0803", "ward": "Lobby Lockers"}</t>
  </si>
  <si>
    <t xml:space="preserve">{"status": "unlocked", "relayFired": true, "batteryLevel": 59}</t>
  </si>
  <si>
    <t xml:space="preserve">{"occupant": "Ava Miller", "phone": "+1-555-0204", "ward": "Ward 1B - Emergency Room"}</t>
  </si>
  <si>
    <t xml:space="preserve">{"status": "unlocked", "relayFired": true, "batteryLevel": 67}</t>
  </si>
  <si>
    <t xml:space="preserve">MANUAL_OVERRIDE</t>
  </si>
  <si>
    <t xml:space="preserve">{"reason": "Lost PIN", "idVerified": true}</t>
  </si>
  <si>
    <t xml:space="preserve">{"releasedBy": "staff_override"}</t>
  </si>
  <si>
    <t xml:space="preserve">{"occupant": "Noah Williams", "phone": "+1-555-0101", "ward": "Ward 3A - Intensive Care"}</t>
  </si>
  <si>
    <t xml:space="preserve">{"reason": "Door sensor fault", "technician": "Creed Bratton"}</t>
  </si>
  <si>
    <t xml:space="preserve">{"occupant": "Sophia Martinez", "phone": "+1-555-0303", "ward": "Ward 2C - Outpatient Care"}</t>
  </si>
  <si>
    <t xml:space="preserve">{"status": "unlocked", "relayFired": true, "batteryLevel": 94}</t>
  </si>
  <si>
    <t xml:space="preserve">{"occupant": "Daniel Allen", "phone": null, "ward": "Ward 1A - Reception"}</t>
  </si>
  <si>
    <t xml:space="preserve">{"status": "unlocked", "relayFired": true, "batteryLevel": 69}</t>
  </si>
  <si>
    <t xml:space="preserve">DOOR_CLOSED</t>
  </si>
  <si>
    <t xml:space="preserve">{"doorState": "closed", "lockEngaged": true}</t>
  </si>
  <si>
    <t xml:space="preserve">{"occupant": "Evelyn Green", "phone": null, "ward": "Lobby Lockers"}</t>
  </si>
  <si>
    <t xml:space="preserve">{"status": "unlocked", "relayFired": true, "batteryLevel": 66}</t>
  </si>
  <si>
    <t xml:space="preserve">{"occupant": "Grace Adams", "phone": "+1-555-1002", "ward": "Visitor Lockers"}</t>
  </si>
  <si>
    <t xml:space="preserve">{"occupant": "Alice Smith", "phone": "+1-555-0202", "ward": "Ward 1B - Emergency Room"}</t>
  </si>
  <si>
    <t xml:space="preserve">{"status": "unlocked", "relayFired": true, "batteryLevel": 81}</t>
  </si>
  <si>
    <t xml:space="preserve">UNLOCK_COMMAND</t>
  </si>
  <si>
    <t xml:space="preserve">{"reason": "Post-repair latch test", "relayFired": true}</t>
  </si>
  <si>
    <t xml:space="preserve">{"occupant": "Amelia King", "phone": "+1-555-0503", "ward": "Men's Locker Room"}</t>
  </si>
  <si>
    <t xml:space="preserve">{"status": "unlocked", "relayFired": true, "batteryLevel": 89}</t>
  </si>
  <si>
    <t xml:space="preserve">{"occupant": "Charlotte Hall", "phone": "+1-555-0302", "ward": "Ward 2C - Outpatient Care"}</t>
  </si>
  <si>
    <t xml:space="preserve">{"status": "unlocked", "relayFired": true, "batteryLevel": 56}</t>
  </si>
  <si>
    <t xml:space="preserve">{"occupant": "Joseph Scott", "phone": "+1-555-0701", "ward": "Main Locker Hall"}</t>
  </si>
  <si>
    <t xml:space="preserve">{"status": "unlocked", "relayFired": true, "batteryLevel": 98}</t>
  </si>
  <si>
    <t xml:space="preserve">{"occupant": "David Baker", "phone": "+1-555-0901", "ward": "Staff Lounge"}</t>
  </si>
  <si>
    <t xml:space="preserve">{"status": "unlocked", "relayFired": true, "batteryLevel": 93}</t>
  </si>
  <si>
    <t xml:space="preserve">{"occupant": "John Doe", "phone": "+1-555-0102", "ward": "Ward 3A - Intensive Care"}</t>
  </si>
  <si>
    <t xml:space="preserve">{"occupant": "Matthew Young", "phone": "+1-555-0501", "ward": "Men's Locker Room"}</t>
  </si>
  <si>
    <t xml:space="preserve">{"status": "unlocked", "relayFired": true, "batteryLevel": 58}</t>
  </si>
  <si>
    <t xml:space="preserve">{"occupant": "Harper Wright", "phone": "+1-555-0602", "ward": "Women's Locker Room"}</t>
  </si>
  <si>
    <t xml:space="preserve">{"status": "unlocked", "relayFired": true, "batteryLevel": 71}</t>
  </si>
  <si>
    <t xml:space="preserve">{"occupant": "Robert Taylor", "phone": "+1-555-0203", "ward": "Ward 1B - Emergency Room"}</t>
  </si>
  <si>
    <t xml:space="preserve">{"status": "unlocked", "relayFired": true, "batteryLevel": 74}</t>
  </si>
  <si>
    <t xml:space="preserve">View</t>
  </si>
  <si>
    <t xml:space="preserve">Built From</t>
  </si>
  <si>
    <t xml:space="preserve">Output Columns</t>
  </si>
  <si>
    <t xml:space="preserve">v_active_lockers</t>
  </si>
  <si>
    <t xml:space="preserve">lockers, wards, branches, locker_allocations (LEFT JOIN on status='active')</t>
  </si>
  <si>
    <t xml:space="preserve">Drop-in compatibility view for the Express REST / Socket.IO API: each locker with its current occupant, ward and branch info.</t>
  </si>
  <si>
    <t xml:space="preserve">id, ward_id, locker_number, status, battery_level, last_heartbeat, relay_channel, firmware_version, is_enabled, current_allocation_id, occupant_name, occupant_phone, occupant_photo, pin_hash, allocated_at, ward_name, ward_floor, branch_id, branch_name</t>
  </si>
  <si>
    <t xml:space="preserve">v_ward_occupancy_summary</t>
  </si>
  <si>
    <t xml:space="preserve">wards, branches, lockers (LEFT JOIN)</t>
  </si>
  <si>
    <t xml:space="preserve">Per-ward analytics: counts by status and occupancy percentage.</t>
  </si>
  <si>
    <t xml:space="preserve">ward_id, ward_name, branch_id, branch_name, total_lockers, occupied_count, available_count, unlocked_count, maintenance_count, offline_count, occupancy_rate_percentage</t>
  </si>
  <si>
    <t xml:space="preserve">Kind</t>
  </si>
  <si>
    <t xml:space="preserve">Timing</t>
  </si>
  <si>
    <t xml:space="preserve">update_timestamp_column()</t>
  </si>
  <si>
    <t xml:space="preserve">FUNCTION</t>
  </si>
  <si>
    <t xml:space="preserve">Sets NEW.updated_at = CURRENT_TIMESTAMP.</t>
  </si>
  <si>
    <t xml:space="preserve">trg_companies_updated</t>
  </si>
  <si>
    <t xml:space="preserve">TRIGGER</t>
  </si>
  <si>
    <t xml:space="preserve">BEFORE UPDATE, FOR EACH ROW</t>
  </si>
  <si>
    <t xml:space="preserve">Refresh updated_at.</t>
  </si>
  <si>
    <t xml:space="preserve">trg_branches_updated</t>
  </si>
  <si>
    <t xml:space="preserve">trg_wards_updated</t>
  </si>
  <si>
    <t xml:space="preserve">trg_lockers_updated</t>
  </si>
  <si>
    <t xml:space="preserve">trg_employees_updated</t>
  </si>
  <si>
    <t xml:space="preserve">Rows Inserted</t>
  </si>
  <si>
    <t xml:space="preserve">Content</t>
  </si>
  <si>
    <t xml:space="preserve">Apex Health Systems (slug apex-health)</t>
  </si>
  <si>
    <t xml:space="preserve">Metro City NY; West Valley CA</t>
  </si>
  <si>
    <t xml:space="preserve">Central Memorial Hospital (CMH-01); Westside Community Clinic (WCC-02)</t>
  </si>
  <si>
    <t xml:space="preserve">Ward 3A ICU; Ward 1B ER (branch 1); Ward 2C Outpatient (branch 2)</t>
  </si>
  <si>
    <t xml:space="preserve">KIOSK-3A-01 (ward 1); KIOSK-1B-01 (ward 2)</t>
  </si>
  <si>
    <t xml:space="preserve">L-101..L-105 in ward 1; L-201, L-202 in ward 2 (L-102, L-202 occupied; L-105 maintenance)</t>
  </si>
  <si>
    <t xml:space="preserve">Sarah Connor (super_admin), Michael Scott (branch_admin), Pam Beesly (staff)</t>
  </si>
  <si>
    <t xml:space="preserve">John Doe on L-102; Alice Smith on L-202 (both active)</t>
  </si>
  <si>
    <t xml:space="preserve">KIOSK_REGISTRATION, DEVICE_ACK (locker 102); MAINTENANCE_FLAG (locker 105)</t>
  </si>
  <si>
    <t xml:space="preserve">Total rows</t>
  </si>
  <si>
    <t xml:space="preserve">Area</t>
  </si>
  <si>
    <t xml:space="preserve">Observation</t>
  </si>
  <si>
    <t xml:space="preserve">Security</t>
  </si>
  <si>
    <t xml:space="preserve">Seed allocations store pin_hash as plain '1234' / '4321', although the column is documented as a bcrypt hash. Replace with real bcrypt hashes before use.</t>
  </si>
  <si>
    <t xml:space="preserve">All three seed employees share one identical bcrypt string; it is unlikely to match the passwords noted in the comments (Admin123!, Branch123!, Staff123!). Regenerate with bcrypt/pgcrypto crypt().</t>
  </si>
  <si>
    <t xml:space="preserve">v_active_lockers exposes pin_hash; consider removing it from the view or restricting access.</t>
  </si>
  <si>
    <t xml:space="preserve">Privacy</t>
  </si>
  <si>
    <t xml:space="preserve">The header promises auto-purge of PII photos (photo_retention_days) but no purge job/function exists in the schema; it must be implemented in the app or via cron.</t>
  </si>
  <si>
    <t xml:space="preserve">Integrity</t>
  </si>
  <si>
    <t xml:space="preserve">locker_events has no enforced foreign keys (locker_id, allocation_id, actor_employee_id). Orphan events are possible; this is a deliberate partitioning/throughput trade-off.</t>
  </si>
  <si>
    <t xml:space="preserve">locker_allocations.ward_id duplicates lockers.ward_id and is not checked for consistency.</t>
  </si>
  <si>
    <t xml:space="preserve">lockers.status is stored separately from allocation status; keep them in sync inside a transaction.</t>
  </si>
  <si>
    <t xml:space="preserve">cities and kiosks have updated_at columns but no update trigger.</t>
  </si>
  <si>
    <t xml:space="preserve">Indexes</t>
  </si>
  <si>
    <t xml:space="preserve">idx_employees_email duplicates the UNIQUE index on email; idx_allocations_active_lookup overlaps with uq_active_locker_allocation.</t>
  </si>
  <si>
    <t xml:space="preserve">Monthly partitions exist only for Oct-Dec 2026; automate creation (e.g. pg_partman). Creating a new partition fails if matching rows already sit in the DEFAULT partition.</t>
  </si>
  <si>
    <t xml:space="preserve">Design</t>
  </si>
  <si>
    <t xml:space="preserve">Tenant isolation is by hierarchy (ward &gt; branch &gt; company); lockers/kiosks carry no company_id, so tenant queries require joins.</t>
  </si>
  <si>
    <t xml:space="preserve">branches.code, kiosks.kiosk_code and employees.email are globally unique, not unique per company.</t>
  </si>
  <si>
    <t xml:space="preserve">Employee ID</t>
  </si>
  <si>
    <t xml:space="preserve">Email (login)</t>
  </si>
  <si>
    <t xml:space="preserve">Role</t>
  </si>
  <si>
    <t xml:space="preserve">Password (plain, dummy only)</t>
  </si>
  <si>
    <t xml:space="preserve">Admin123!</t>
  </si>
  <si>
    <t xml:space="preserve">Branch123!</t>
  </si>
  <si>
    <t xml:space="preserve">Staff123!</t>
  </si>
  <si>
    <t xml:space="preserve">Tech123!</t>
  </si>
  <si>
    <t xml:space="preserve">Locker PINs for dummy allocations (stored hashed in locker_allocations.pin_hash)</t>
  </si>
  <si>
    <t xml:space="preserve">Allocation ID</t>
  </si>
  <si>
    <t xml:space="preserve">Locker ID</t>
  </si>
  <si>
    <t xml:space="preserve">Occupant</t>
  </si>
  <si>
    <t xml:space="preserve">PIN (plain, dummy only)</t>
  </si>
  <si>
    <t xml:space="preserve">Allocation Status</t>
  </si>
  <si>
    <t xml:space="preserve">1234</t>
  </si>
  <si>
    <t xml:space="preserve">4321</t>
  </si>
  <si>
    <t xml:space="preserve">2468</t>
  </si>
  <si>
    <t xml:space="preserve">1357</t>
  </si>
  <si>
    <t xml:space="preserve">9876</t>
  </si>
  <si>
    <t xml:space="preserve">112233</t>
  </si>
  <si>
    <t xml:space="preserve">334455</t>
  </si>
  <si>
    <t xml:space="preserve">556677</t>
  </si>
  <si>
    <t xml:space="preserve">778899</t>
  </si>
  <si>
    <t xml:space="preserve">9900</t>
  </si>
  <si>
    <t xml:space="preserve">1470</t>
  </si>
  <si>
    <t xml:space="preserve">2580</t>
  </si>
  <si>
    <t xml:space="preserve">2947</t>
  </si>
  <si>
    <t xml:space="preserve">0866</t>
  </si>
  <si>
    <t xml:space="preserve">8785</t>
  </si>
  <si>
    <t xml:space="preserve">6704</t>
  </si>
  <si>
    <t xml:space="preserve">4623</t>
  </si>
  <si>
    <t xml:space="preserve">2542</t>
  </si>
  <si>
    <t xml:space="preserve">0461</t>
  </si>
  <si>
    <t xml:space="preserve">8380</t>
  </si>
  <si>
    <t xml:space="preserve">166299</t>
  </si>
  <si>
    <t xml:space="preserve">174218</t>
  </si>
  <si>
    <t xml:space="preserve">182137</t>
  </si>
  <si>
    <t xml:space="preserve">0056</t>
  </si>
  <si>
    <t xml:space="preserve">7975</t>
  </si>
  <si>
    <t xml:space="preserve">Hashes in the Sample sheets / SQL are real bcrypt ($2b$, cost 10) of these values, so you can log in with them.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</si>
</sst>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\ hh:mm:ss"/>
    <numFmt numFmtId="167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Courier New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6FC"/>
        <bgColor rgb="FFFFFFFF"/>
      </patternFill>
    </fill>
    <fill>
      <patternFill patternType="solid">
        <fgColor rgb="FF2F5597"/>
        <bgColor rgb="FF0563C1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2F6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6FC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6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f aca="false">COUNTIF(Tables!C2:C15,"BASE TABLE")+COUNTIF(Tables!C2:C15,"PARTITIONED TABLE")</f>
        <v>10</v>
      </c>
    </row>
    <row r="6" customFormat="false" ht="15" hidden="false" customHeight="true" outlineLevel="0" collapsed="false">
      <c r="A6" s="5" t="s">
        <v>4</v>
      </c>
      <c r="B6" s="6" t="n">
        <f aca="false">COUNTIF(Tables!C2:C15,"PARTITION")</f>
        <v>4</v>
      </c>
    </row>
    <row r="7" customFormat="false" ht="15" hidden="false" customHeight="true" outlineLevel="0" collapsed="false">
      <c r="A7" s="5" t="s">
        <v>5</v>
      </c>
      <c r="B7" s="6" t="n">
        <f aca="false">SUM(Tables!F2:F15)</f>
        <v>103</v>
      </c>
    </row>
    <row r="8" customFormat="false" ht="15" hidden="false" customHeight="true" outlineLevel="0" collapsed="false">
      <c r="A8" s="5" t="s">
        <v>6</v>
      </c>
      <c r="B8" s="6" t="n">
        <f aca="false">COUNTA(Relationships!B2:B19)</f>
        <v>18</v>
      </c>
    </row>
    <row r="9" customFormat="false" ht="15" hidden="false" customHeight="true" outlineLevel="0" collapsed="false">
      <c r="A9" s="5" t="s">
        <v>7</v>
      </c>
      <c r="B9" s="6" t="n">
        <f aca="false">COUNTIF(Relationships!H2:H19,"Yes")</f>
        <v>15</v>
      </c>
    </row>
    <row r="10" customFormat="false" ht="15" hidden="false" customHeight="true" outlineLevel="0" collapsed="false">
      <c r="A10" s="5" t="s">
        <v>8</v>
      </c>
      <c r="B10" s="6" t="n">
        <f aca="false">COUNTIF(Relationships!H2:H19,"No*")</f>
        <v>3</v>
      </c>
    </row>
    <row r="11" customFormat="false" ht="15" hidden="false" customHeight="true" outlineLevel="0" collapsed="false">
      <c r="A11" s="5" t="s">
        <v>9</v>
      </c>
      <c r="B11" s="6" t="n">
        <f aca="false">SUM(Tables!I2:I15)</f>
        <v>28</v>
      </c>
    </row>
    <row r="12" customFormat="false" ht="15" hidden="false" customHeight="true" outlineLevel="0" collapsed="false">
      <c r="A12" s="5" t="s">
        <v>10</v>
      </c>
      <c r="B12" s="6" t="n">
        <f aca="false">SUM(Tables!J2:J15)</f>
        <v>10</v>
      </c>
    </row>
    <row r="13" customFormat="false" ht="15" hidden="false" customHeight="true" outlineLevel="0" collapsed="false">
      <c r="A13" s="5" t="s">
        <v>11</v>
      </c>
      <c r="B13" s="6" t="n">
        <f aca="false">COUNTA(Views!A2:A3)</f>
        <v>2</v>
      </c>
    </row>
    <row r="14" customFormat="false" ht="15" hidden="false" customHeight="true" outlineLevel="0" collapsed="false">
      <c r="A14" s="5" t="s">
        <v>12</v>
      </c>
      <c r="B14" s="6" t="n">
        <f aca="false">COUNTIF('Triggers &amp; Functions'!B2:B7,"TRIGGER")</f>
        <v>5</v>
      </c>
    </row>
    <row r="16" customFormat="false" ht="15" hidden="false" customHeight="true" outlineLevel="0" collapsed="false">
      <c r="A16" s="4" t="s">
        <v>13</v>
      </c>
    </row>
    <row r="17" customFormat="false" ht="15" hidden="false" customHeight="true" outlineLevel="0" collapsed="false">
      <c r="A17" s="7" t="s">
        <v>14</v>
      </c>
    </row>
    <row r="18" customFormat="false" ht="15" hidden="false" customHeight="true" outlineLevel="0" collapsed="false">
      <c r="A18" s="7" t="s">
        <v>15</v>
      </c>
    </row>
    <row r="19" customFormat="false" ht="15" hidden="false" customHeight="true" outlineLevel="0" collapsed="false">
      <c r="A19" s="7" t="s">
        <v>16</v>
      </c>
    </row>
    <row r="20" customFormat="false" ht="15" hidden="false" customHeight="true" outlineLevel="0" collapsed="false">
      <c r="A20" s="7" t="s">
        <v>17</v>
      </c>
    </row>
    <row r="21" customFormat="false" ht="15" hidden="false" customHeight="true" outlineLevel="0" collapsed="false">
      <c r="A21" s="7" t="s">
        <v>18</v>
      </c>
    </row>
    <row r="22" customFormat="false" ht="15" hidden="false" customHeight="true" outlineLevel="0" collapsed="false">
      <c r="A22" s="7" t="s">
        <v>19</v>
      </c>
    </row>
    <row r="23" customFormat="false" ht="15" hidden="false" customHeight="true" outlineLevel="0" collapsed="false">
      <c r="A23" s="7" t="s">
        <v>20</v>
      </c>
    </row>
    <row r="24" customFormat="false" ht="15" hidden="false" customHeight="true" outlineLevel="0" collapsed="false">
      <c r="A24" s="7" t="s">
        <v>21</v>
      </c>
    </row>
    <row r="25" customFormat="false" ht="15" hidden="false" customHeight="true" outlineLevel="0" collapsed="false">
      <c r="A25" s="7" t="s">
        <v>22</v>
      </c>
    </row>
    <row r="26" customFormat="false" ht="15" hidden="false" customHeight="true" outlineLevel="0" collapsed="false">
      <c r="A26" s="7" t="s">
        <v>23</v>
      </c>
    </row>
    <row r="28" customFormat="false" ht="15" hidden="false" customHeight="true" outlineLevel="0" collapsed="false">
      <c r="A28" s="4" t="s">
        <v>24</v>
      </c>
    </row>
    <row r="29" customFormat="false" ht="15" hidden="false" customHeight="true" outlineLevel="0" collapsed="false">
      <c r="A29" s="4" t="s">
        <v>25</v>
      </c>
      <c r="B29" s="8" t="s">
        <v>26</v>
      </c>
    </row>
    <row r="30" customFormat="false" ht="15" hidden="false" customHeight="true" outlineLevel="0" collapsed="false">
      <c r="A30" s="4" t="s">
        <v>27</v>
      </c>
      <c r="B30" s="8" t="s">
        <v>28</v>
      </c>
    </row>
    <row r="31" customFormat="false" ht="15" hidden="false" customHeight="true" outlineLevel="0" collapsed="false">
      <c r="A31" s="4" t="s">
        <v>29</v>
      </c>
      <c r="B31" s="8" t="s">
        <v>30</v>
      </c>
    </row>
    <row r="32" customFormat="false" ht="15" hidden="false" customHeight="true" outlineLevel="0" collapsed="false">
      <c r="A32" s="4" t="s">
        <v>11</v>
      </c>
      <c r="B32" s="8" t="s">
        <v>31</v>
      </c>
    </row>
    <row r="33" customFormat="false" ht="15" hidden="false" customHeight="true" outlineLevel="0" collapsed="false">
      <c r="A33" s="4" t="s">
        <v>32</v>
      </c>
      <c r="B33" s="8" t="s">
        <v>33</v>
      </c>
    </row>
    <row r="34" customFormat="false" ht="15" hidden="false" customHeight="true" outlineLevel="0" collapsed="false">
      <c r="A34" s="4" t="s">
        <v>34</v>
      </c>
      <c r="B34" s="8" t="s">
        <v>35</v>
      </c>
    </row>
    <row r="35" customFormat="false" ht="15" hidden="false" customHeight="true" outlineLevel="0" collapsed="false">
      <c r="A35" s="4" t="s">
        <v>36</v>
      </c>
      <c r="B35" s="8" t="s">
        <v>37</v>
      </c>
    </row>
    <row r="36" customFormat="false" ht="15" hidden="false" customHeight="true" outlineLevel="0" collapsed="false">
      <c r="A36" s="4" t="s">
        <v>38</v>
      </c>
      <c r="B36" s="8" t="s">
        <v>39</v>
      </c>
    </row>
    <row r="37" customFormat="false" ht="15" hidden="false" customHeight="true" outlineLevel="0" collapsed="false">
      <c r="A37" s="4"/>
      <c r="B37" s="8"/>
    </row>
    <row r="38" customFormat="false" ht="15" hidden="false" customHeight="true" outlineLevel="0" collapsed="false">
      <c r="A38" s="4"/>
      <c r="B38" s="8"/>
    </row>
    <row r="39" customFormat="false" ht="15" hidden="false" customHeight="true" outlineLevel="0" collapsed="false">
      <c r="A39" s="4"/>
      <c r="B3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60"/>
    <col collapsed="false" customWidth="true" hidden="false" outlineLevel="0" max="5" min="5" style="1" width="16"/>
    <col collapsed="false" customWidth="true" hidden="false" outlineLevel="0" max="6" min="6" style="1" width="11"/>
    <col collapsed="false" customWidth="true" hidden="false" outlineLevel="0" max="8" min="7" style="1" width="16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</row>
    <row r="2" customFormat="false" ht="15" hidden="false" customHeight="true" outlineLevel="0" collapsed="false">
      <c r="A2" s="10" t="str">
        <f aca="false">HYPERLINK("#companies!A1","companies")</f>
        <v>companies</v>
      </c>
      <c r="B2" s="11" t="s">
        <v>50</v>
      </c>
      <c r="C2" s="11" t="s">
        <v>51</v>
      </c>
      <c r="D2" s="11" t="s">
        <v>52</v>
      </c>
      <c r="E2" s="11" t="s">
        <v>53</v>
      </c>
      <c r="F2" s="12" t="n">
        <f aca="false">COUNTA(companies!A8:A15)</f>
        <v>8</v>
      </c>
      <c r="G2" s="12" t="n">
        <f aca="false">COUNTIF(Relationships!$B$2:$B$19,"companies")</f>
        <v>0</v>
      </c>
      <c r="H2" s="12" t="n">
        <f aca="false">COUNTIF(Relationships!$D$2:$D$19,"companies")</f>
        <v>3</v>
      </c>
      <c r="I2" s="12" t="n">
        <f aca="false">COUNTA(companies!A25:A27)</f>
        <v>3</v>
      </c>
      <c r="J2" s="12" t="n">
        <v>0</v>
      </c>
    </row>
    <row r="3" customFormat="false" ht="15" hidden="false" customHeight="true" outlineLevel="0" collapsed="false">
      <c r="A3" s="13" t="str">
        <f aca="false">HYPERLINK("#cities!A1","cities")</f>
        <v>cities</v>
      </c>
      <c r="B3" s="14" t="s">
        <v>50</v>
      </c>
      <c r="C3" s="14" t="s">
        <v>51</v>
      </c>
      <c r="D3" s="14" t="s">
        <v>54</v>
      </c>
      <c r="E3" s="14" t="s">
        <v>53</v>
      </c>
      <c r="F3" s="15" t="n">
        <f aca="false">COUNTA(cities!A8:A14)</f>
        <v>7</v>
      </c>
      <c r="G3" s="15" t="n">
        <f aca="false">COUNTIF(Relationships!$B$2:$B$19,"cities")</f>
        <v>1</v>
      </c>
      <c r="H3" s="15" t="n">
        <f aca="false">COUNTIF(Relationships!$D$2:$D$19,"cities")</f>
        <v>1</v>
      </c>
      <c r="I3" s="15" t="n">
        <f aca="false">COUNTA(cities!A23:A24)</f>
        <v>2</v>
      </c>
      <c r="J3" s="15" t="n">
        <v>0</v>
      </c>
    </row>
    <row r="4" customFormat="false" ht="15" hidden="false" customHeight="true" outlineLevel="0" collapsed="false">
      <c r="A4" s="10" t="str">
        <f aca="false">HYPERLINK("#branches!A1","branches")</f>
        <v>branches</v>
      </c>
      <c r="B4" s="11" t="s">
        <v>50</v>
      </c>
      <c r="C4" s="11" t="s">
        <v>51</v>
      </c>
      <c r="D4" s="11" t="s">
        <v>55</v>
      </c>
      <c r="E4" s="11" t="s">
        <v>53</v>
      </c>
      <c r="F4" s="12" t="n">
        <f aca="false">COUNTA(branches!A8:A17)</f>
        <v>10</v>
      </c>
      <c r="G4" s="12" t="n">
        <f aca="false">COUNTIF(Relationships!$B$2:$B$19,"branches")</f>
        <v>2</v>
      </c>
      <c r="H4" s="12" t="n">
        <f aca="false">COUNTIF(Relationships!$D$2:$D$19,"branches")</f>
        <v>2</v>
      </c>
      <c r="I4" s="12" t="n">
        <f aca="false">COUNTA(branches!A28:A29)</f>
        <v>2</v>
      </c>
      <c r="J4" s="12" t="n">
        <v>0</v>
      </c>
    </row>
    <row r="5" customFormat="false" ht="15" hidden="false" customHeight="true" outlineLevel="0" collapsed="false">
      <c r="A5" s="13" t="str">
        <f aca="false">HYPERLINK("#wards!A1","wards")</f>
        <v>wards</v>
      </c>
      <c r="B5" s="14" t="s">
        <v>50</v>
      </c>
      <c r="C5" s="14" t="s">
        <v>51</v>
      </c>
      <c r="D5" s="14" t="s">
        <v>56</v>
      </c>
      <c r="E5" s="14" t="s">
        <v>53</v>
      </c>
      <c r="F5" s="15" t="n">
        <f aca="false">COUNTA(wards!A8:A15)</f>
        <v>8</v>
      </c>
      <c r="G5" s="15" t="n">
        <f aca="false">COUNTIF(Relationships!$B$2:$B$19,"wards")</f>
        <v>1</v>
      </c>
      <c r="H5" s="15" t="n">
        <f aca="false">COUNTIF(Relationships!$D$2:$D$19,"wards")</f>
        <v>3</v>
      </c>
      <c r="I5" s="15" t="n">
        <f aca="false">COUNTA(wards!A26:A27)</f>
        <v>2</v>
      </c>
      <c r="J5" s="15" t="n">
        <v>0</v>
      </c>
    </row>
    <row r="6" customFormat="false" ht="15" hidden="false" customHeight="true" outlineLevel="0" collapsed="false">
      <c r="A6" s="10" t="str">
        <f aca="false">HYPERLINK("#kiosks!A1","kiosks")</f>
        <v>kiosks</v>
      </c>
      <c r="B6" s="11" t="s">
        <v>57</v>
      </c>
      <c r="C6" s="11" t="s">
        <v>51</v>
      </c>
      <c r="D6" s="11" t="s">
        <v>58</v>
      </c>
      <c r="E6" s="11" t="s">
        <v>53</v>
      </c>
      <c r="F6" s="12" t="n">
        <f aca="false">COUNTA(kiosks!A8:A18)</f>
        <v>11</v>
      </c>
      <c r="G6" s="12" t="n">
        <f aca="false">COUNTIF(Relationships!$B$2:$B$19,"kiosks")</f>
        <v>1</v>
      </c>
      <c r="H6" s="12" t="n">
        <f aca="false">COUNTIF(Relationships!$D$2:$D$19,"kiosks")</f>
        <v>1</v>
      </c>
      <c r="I6" s="12" t="n">
        <f aca="false">COUNTA(kiosks!A27:A29)</f>
        <v>3</v>
      </c>
      <c r="J6" s="12" t="n">
        <f aca="false">COUNTA(kiosks!A33:A33)</f>
        <v>1</v>
      </c>
    </row>
    <row r="7" customFormat="false" ht="15" hidden="false" customHeight="true" outlineLevel="0" collapsed="false">
      <c r="A7" s="13" t="str">
        <f aca="false">HYPERLINK("#lockers!A1","lockers")</f>
        <v>lockers</v>
      </c>
      <c r="B7" s="14" t="s">
        <v>57</v>
      </c>
      <c r="C7" s="14" t="s">
        <v>51</v>
      </c>
      <c r="D7" s="14" t="s">
        <v>59</v>
      </c>
      <c r="E7" s="14" t="s">
        <v>53</v>
      </c>
      <c r="F7" s="15" t="n">
        <f aca="false">COUNTA(lockers!A8:A20)</f>
        <v>13</v>
      </c>
      <c r="G7" s="15" t="n">
        <f aca="false">COUNTIF(Relationships!$B$2:$B$19,"lockers")</f>
        <v>1</v>
      </c>
      <c r="H7" s="15" t="n">
        <f aca="false">COUNTIF(Relationships!$D$2:$D$19,"lockers")</f>
        <v>3</v>
      </c>
      <c r="I7" s="15" t="n">
        <f aca="false">COUNTA(lockers!A31:A34)</f>
        <v>4</v>
      </c>
      <c r="J7" s="15" t="n">
        <f aca="false">COUNTA(lockers!A38:A38)</f>
        <v>1</v>
      </c>
    </row>
    <row r="8" customFormat="false" ht="15" hidden="false" customHeight="true" outlineLevel="0" collapsed="false">
      <c r="A8" s="10" t="str">
        <f aca="false">HYPERLINK("#employees!A1","employees")</f>
        <v>employees</v>
      </c>
      <c r="B8" s="11" t="s">
        <v>60</v>
      </c>
      <c r="C8" s="11" t="s">
        <v>51</v>
      </c>
      <c r="D8" s="11" t="s">
        <v>61</v>
      </c>
      <c r="E8" s="11" t="s">
        <v>53</v>
      </c>
      <c r="F8" s="12" t="n">
        <f aca="false">COUNTA(employees!A8:A19)</f>
        <v>12</v>
      </c>
      <c r="G8" s="12" t="n">
        <f aca="false">COUNTIF(Relationships!$B$2:$B$19,"employees")</f>
        <v>2</v>
      </c>
      <c r="H8" s="12" t="n">
        <f aca="false">COUNTIF(Relationships!$D$2:$D$19,"employees")</f>
        <v>4</v>
      </c>
      <c r="I8" s="12" t="n">
        <f aca="false">COUNTA(employees!A32:A34)</f>
        <v>3</v>
      </c>
      <c r="J8" s="12" t="n">
        <f aca="false">COUNTA(employees!A38:A39)</f>
        <v>2</v>
      </c>
    </row>
    <row r="9" customFormat="false" ht="15" hidden="false" customHeight="true" outlineLevel="0" collapsed="false">
      <c r="A9" s="13" t="str">
        <f aca="false">HYPERLINK("#locker_allocations!A1","locker_allocations")</f>
        <v>locker_allocations</v>
      </c>
      <c r="B9" s="14" t="s">
        <v>62</v>
      </c>
      <c r="C9" s="14" t="s">
        <v>51</v>
      </c>
      <c r="D9" s="14" t="s">
        <v>63</v>
      </c>
      <c r="E9" s="14" t="s">
        <v>53</v>
      </c>
      <c r="F9" s="15" t="n">
        <f aca="false">COUNTA(locker_allocations!A8:A22)</f>
        <v>15</v>
      </c>
      <c r="G9" s="15" t="n">
        <f aca="false">COUNTIF(Relationships!$B$2:$B$19,"locker_allocations")</f>
        <v>4</v>
      </c>
      <c r="H9" s="15" t="n">
        <f aca="false">COUNTIF(Relationships!$D$2:$D$19,"locker_allocations")</f>
        <v>1</v>
      </c>
      <c r="I9" s="15" t="n">
        <f aca="false">COUNTA(locker_allocations!A34:A36)</f>
        <v>3</v>
      </c>
      <c r="J9" s="15" t="n">
        <f aca="false">COUNTA(locker_allocations!A40:A42)</f>
        <v>3</v>
      </c>
    </row>
    <row r="10" customFormat="false" ht="15" hidden="false" customHeight="true" outlineLevel="0" collapsed="false">
      <c r="A10" s="10" t="str">
        <f aca="false">HYPERLINK("#maintenance_tickets!A1","maintenance_tickets")</f>
        <v>maintenance_tickets</v>
      </c>
      <c r="B10" s="11" t="s">
        <v>64</v>
      </c>
      <c r="C10" s="11" t="s">
        <v>51</v>
      </c>
      <c r="D10" s="11" t="s">
        <v>65</v>
      </c>
      <c r="E10" s="11" t="s">
        <v>53</v>
      </c>
      <c r="F10" s="12" t="n">
        <f aca="false">COUNTA(maintenance_tickets!A8:A18)</f>
        <v>11</v>
      </c>
      <c r="G10" s="12" t="n">
        <f aca="false">COUNTIF(Relationships!$B$2:$B$19,"maintenance_tickets")</f>
        <v>3</v>
      </c>
      <c r="H10" s="12" t="n">
        <f aca="false">COUNTIF(Relationships!$D$2:$D$19,"maintenance_tickets")</f>
        <v>0</v>
      </c>
      <c r="I10" s="12" t="n">
        <f aca="false">COUNTA(maintenance_tickets!A28:A31)</f>
        <v>4</v>
      </c>
      <c r="J10" s="12" t="n">
        <v>0</v>
      </c>
    </row>
    <row r="11" customFormat="false" ht="15" hidden="false" customHeight="true" outlineLevel="0" collapsed="false">
      <c r="A11" s="13" t="str">
        <f aca="false">HYPERLINK("#locker_events!A1","locker_events")</f>
        <v>locker_events</v>
      </c>
      <c r="B11" s="14" t="s">
        <v>66</v>
      </c>
      <c r="C11" s="14" t="s">
        <v>67</v>
      </c>
      <c r="D11" s="14" t="s">
        <v>68</v>
      </c>
      <c r="E11" s="14" t="s">
        <v>69</v>
      </c>
      <c r="F11" s="15" t="n">
        <f aca="false">COUNTA(locker_events!A8:A15)</f>
        <v>8</v>
      </c>
      <c r="G11" s="15" t="n">
        <f aca="false">COUNTIF(Relationships!$B$2:$B$19,"locker_events")</f>
        <v>3</v>
      </c>
      <c r="H11" s="15" t="n">
        <f aca="false">COUNTIF(Relationships!$D$2:$D$19,"locker_events")</f>
        <v>0</v>
      </c>
      <c r="I11" s="15" t="n">
        <f aca="false">COUNTA(locker_events!A25:A26)</f>
        <v>2</v>
      </c>
      <c r="J11" s="15" t="n">
        <f aca="false">COUNTA(locker_events!A30:A32)</f>
        <v>3</v>
      </c>
    </row>
    <row r="12" customFormat="false" ht="15" hidden="false" customHeight="true" outlineLevel="0" collapsed="false">
      <c r="A12" s="11" t="s">
        <v>70</v>
      </c>
      <c r="B12" s="11" t="s">
        <v>66</v>
      </c>
      <c r="C12" s="11" t="s">
        <v>71</v>
      </c>
      <c r="D12" s="11" t="s">
        <v>72</v>
      </c>
      <c r="E12" s="11" t="s">
        <v>73</v>
      </c>
      <c r="F12" s="12" t="s">
        <v>74</v>
      </c>
      <c r="G12" s="12" t="s">
        <v>74</v>
      </c>
      <c r="H12" s="12" t="s">
        <v>74</v>
      </c>
      <c r="I12" s="12" t="s">
        <v>74</v>
      </c>
      <c r="J12" s="12" t="s">
        <v>74</v>
      </c>
    </row>
    <row r="13" customFormat="false" ht="15" hidden="false" customHeight="true" outlineLevel="0" collapsed="false">
      <c r="A13" s="14" t="s">
        <v>75</v>
      </c>
      <c r="B13" s="14" t="s">
        <v>66</v>
      </c>
      <c r="C13" s="14" t="s">
        <v>71</v>
      </c>
      <c r="D13" s="14" t="s">
        <v>76</v>
      </c>
      <c r="E13" s="14" t="s">
        <v>73</v>
      </c>
      <c r="F13" s="15" t="s">
        <v>74</v>
      </c>
      <c r="G13" s="15" t="s">
        <v>74</v>
      </c>
      <c r="H13" s="15" t="s">
        <v>74</v>
      </c>
      <c r="I13" s="15" t="s">
        <v>74</v>
      </c>
      <c r="J13" s="15" t="s">
        <v>74</v>
      </c>
    </row>
    <row r="14" customFormat="false" ht="15" hidden="false" customHeight="true" outlineLevel="0" collapsed="false">
      <c r="A14" s="11" t="s">
        <v>77</v>
      </c>
      <c r="B14" s="11" t="s">
        <v>66</v>
      </c>
      <c r="C14" s="11" t="s">
        <v>71</v>
      </c>
      <c r="D14" s="11" t="s">
        <v>78</v>
      </c>
      <c r="E14" s="11" t="s">
        <v>73</v>
      </c>
      <c r="F14" s="12" t="s">
        <v>74</v>
      </c>
      <c r="G14" s="12" t="s">
        <v>74</v>
      </c>
      <c r="H14" s="12" t="s">
        <v>74</v>
      </c>
      <c r="I14" s="12" t="s">
        <v>74</v>
      </c>
      <c r="J14" s="12" t="s">
        <v>74</v>
      </c>
    </row>
    <row r="15" customFormat="false" ht="15" hidden="false" customHeight="true" outlineLevel="0" collapsed="false">
      <c r="A15" s="14" t="s">
        <v>79</v>
      </c>
      <c r="B15" s="14" t="s">
        <v>66</v>
      </c>
      <c r="C15" s="14" t="s">
        <v>71</v>
      </c>
      <c r="D15" s="14" t="s">
        <v>80</v>
      </c>
      <c r="E15" s="14" t="s">
        <v>73</v>
      </c>
      <c r="F15" s="15" t="s">
        <v>74</v>
      </c>
      <c r="G15" s="15" t="s">
        <v>74</v>
      </c>
      <c r="H15" s="15" t="s">
        <v>74</v>
      </c>
      <c r="I15" s="15" t="s">
        <v>74</v>
      </c>
      <c r="J15" s="15" t="s">
        <v>74</v>
      </c>
    </row>
  </sheetData>
  <autoFilter ref="A1:J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26"/>
    <col collapsed="false" customWidth="true" hidden="false" outlineLevel="0" max="4" min="4" style="1" width="24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28"/>
    <col collapsed="false" customWidth="true" hidden="false" outlineLevel="0" max="8" min="8" style="1" width="14"/>
    <col collapsed="false" customWidth="true" hidden="false" outlineLevel="0" max="9" min="9" style="1" width="60"/>
  </cols>
  <sheetData>
    <row r="1" customFormat="false" ht="30" hidden="false" customHeight="true" outlineLevel="0" collapsed="false">
      <c r="A1" s="9" t="s">
        <v>81</v>
      </c>
      <c r="B1" s="9" t="s">
        <v>82</v>
      </c>
      <c r="C1" s="9" t="s">
        <v>83</v>
      </c>
      <c r="D1" s="9" t="s">
        <v>84</v>
      </c>
      <c r="E1" s="9" t="s">
        <v>85</v>
      </c>
      <c r="F1" s="9" t="s">
        <v>86</v>
      </c>
      <c r="G1" s="9" t="s">
        <v>87</v>
      </c>
      <c r="H1" s="9" t="s">
        <v>88</v>
      </c>
      <c r="I1" s="9" t="s">
        <v>89</v>
      </c>
    </row>
    <row r="2" customFormat="false" ht="15" hidden="false" customHeight="true" outlineLevel="0" collapsed="false">
      <c r="A2" s="11" t="n">
        <v>1</v>
      </c>
      <c r="B2" s="11" t="s">
        <v>90</v>
      </c>
      <c r="C2" s="11" t="s">
        <v>91</v>
      </c>
      <c r="D2" s="11" t="s">
        <v>14</v>
      </c>
      <c r="E2" s="11" t="s">
        <v>53</v>
      </c>
      <c r="F2" s="11" t="s">
        <v>92</v>
      </c>
      <c r="G2" s="11" t="s">
        <v>93</v>
      </c>
      <c r="H2" s="11" t="s">
        <v>94</v>
      </c>
      <c r="I2" s="11" t="s">
        <v>95</v>
      </c>
    </row>
    <row r="3" customFormat="false" ht="15" hidden="false" customHeight="true" outlineLevel="0" collapsed="false">
      <c r="A3" s="14" t="n">
        <v>2</v>
      </c>
      <c r="B3" s="14" t="s">
        <v>96</v>
      </c>
      <c r="C3" s="14" t="s">
        <v>91</v>
      </c>
      <c r="D3" s="14" t="s">
        <v>14</v>
      </c>
      <c r="E3" s="14" t="s">
        <v>53</v>
      </c>
      <c r="F3" s="14" t="s">
        <v>92</v>
      </c>
      <c r="G3" s="14" t="s">
        <v>93</v>
      </c>
      <c r="H3" s="14" t="s">
        <v>94</v>
      </c>
      <c r="I3" s="14" t="s">
        <v>97</v>
      </c>
    </row>
    <row r="4" customFormat="false" ht="15" hidden="false" customHeight="true" outlineLevel="0" collapsed="false">
      <c r="A4" s="11" t="n">
        <v>3</v>
      </c>
      <c r="B4" s="11" t="s">
        <v>96</v>
      </c>
      <c r="C4" s="11" t="s">
        <v>98</v>
      </c>
      <c r="D4" s="11" t="s">
        <v>90</v>
      </c>
      <c r="E4" s="11" t="s">
        <v>53</v>
      </c>
      <c r="F4" s="11" t="s">
        <v>92</v>
      </c>
      <c r="G4" s="11" t="s">
        <v>93</v>
      </c>
      <c r="H4" s="11" t="s">
        <v>94</v>
      </c>
      <c r="I4" s="11" t="s">
        <v>99</v>
      </c>
    </row>
    <row r="5" customFormat="false" ht="15" hidden="false" customHeight="true" outlineLevel="0" collapsed="false">
      <c r="A5" s="14" t="n">
        <v>4</v>
      </c>
      <c r="B5" s="14" t="s">
        <v>100</v>
      </c>
      <c r="C5" s="14" t="s">
        <v>101</v>
      </c>
      <c r="D5" s="14" t="s">
        <v>96</v>
      </c>
      <c r="E5" s="14" t="s">
        <v>53</v>
      </c>
      <c r="F5" s="14" t="s">
        <v>92</v>
      </c>
      <c r="G5" s="14" t="s">
        <v>93</v>
      </c>
      <c r="H5" s="14" t="s">
        <v>94</v>
      </c>
      <c r="I5" s="14" t="s">
        <v>102</v>
      </c>
    </row>
    <row r="6" customFormat="false" ht="15" hidden="false" customHeight="true" outlineLevel="0" collapsed="false">
      <c r="A6" s="11" t="n">
        <v>5</v>
      </c>
      <c r="B6" s="11" t="s">
        <v>103</v>
      </c>
      <c r="C6" s="11" t="s">
        <v>104</v>
      </c>
      <c r="D6" s="11" t="s">
        <v>100</v>
      </c>
      <c r="E6" s="11" t="s">
        <v>53</v>
      </c>
      <c r="F6" s="11" t="s">
        <v>92</v>
      </c>
      <c r="G6" s="11" t="s">
        <v>93</v>
      </c>
      <c r="H6" s="11" t="s">
        <v>94</v>
      </c>
      <c r="I6" s="11" t="s">
        <v>105</v>
      </c>
    </row>
    <row r="7" customFormat="false" ht="15" hidden="false" customHeight="true" outlineLevel="0" collapsed="false">
      <c r="A7" s="14" t="n">
        <v>6</v>
      </c>
      <c r="B7" s="14" t="s">
        <v>106</v>
      </c>
      <c r="C7" s="14" t="s">
        <v>104</v>
      </c>
      <c r="D7" s="14" t="s">
        <v>100</v>
      </c>
      <c r="E7" s="14" t="s">
        <v>53</v>
      </c>
      <c r="F7" s="14" t="s">
        <v>92</v>
      </c>
      <c r="G7" s="14" t="s">
        <v>93</v>
      </c>
      <c r="H7" s="14" t="s">
        <v>94</v>
      </c>
      <c r="I7" s="14" t="s">
        <v>107</v>
      </c>
    </row>
    <row r="8" customFormat="false" ht="15" hidden="false" customHeight="true" outlineLevel="0" collapsed="false">
      <c r="A8" s="11" t="n">
        <v>7</v>
      </c>
      <c r="B8" s="11" t="s">
        <v>108</v>
      </c>
      <c r="C8" s="11" t="s">
        <v>91</v>
      </c>
      <c r="D8" s="11" t="s">
        <v>14</v>
      </c>
      <c r="E8" s="11" t="s">
        <v>53</v>
      </c>
      <c r="F8" s="11" t="s">
        <v>92</v>
      </c>
      <c r="G8" s="11" t="s">
        <v>93</v>
      </c>
      <c r="H8" s="11" t="s">
        <v>94</v>
      </c>
      <c r="I8" s="11" t="s">
        <v>109</v>
      </c>
    </row>
    <row r="9" customFormat="false" ht="15" hidden="false" customHeight="true" outlineLevel="0" collapsed="false">
      <c r="A9" s="14" t="n">
        <v>8</v>
      </c>
      <c r="B9" s="14" t="s">
        <v>108</v>
      </c>
      <c r="C9" s="14" t="s">
        <v>101</v>
      </c>
      <c r="D9" s="14" t="s">
        <v>96</v>
      </c>
      <c r="E9" s="14" t="s">
        <v>53</v>
      </c>
      <c r="F9" s="14" t="s">
        <v>110</v>
      </c>
      <c r="G9" s="14" t="s">
        <v>111</v>
      </c>
      <c r="H9" s="14" t="s">
        <v>94</v>
      </c>
      <c r="I9" s="14" t="s">
        <v>112</v>
      </c>
    </row>
    <row r="10" customFormat="false" ht="15" hidden="false" customHeight="true" outlineLevel="0" collapsed="false">
      <c r="A10" s="11" t="n">
        <v>9</v>
      </c>
      <c r="B10" s="11" t="s">
        <v>113</v>
      </c>
      <c r="C10" s="11" t="s">
        <v>114</v>
      </c>
      <c r="D10" s="11" t="s">
        <v>106</v>
      </c>
      <c r="E10" s="11" t="s">
        <v>53</v>
      </c>
      <c r="F10" s="11" t="s">
        <v>92</v>
      </c>
      <c r="G10" s="11" t="s">
        <v>93</v>
      </c>
      <c r="H10" s="11" t="s">
        <v>94</v>
      </c>
      <c r="I10" s="11" t="s">
        <v>115</v>
      </c>
    </row>
    <row r="11" customFormat="false" ht="15" hidden="false" customHeight="true" outlineLevel="0" collapsed="false">
      <c r="A11" s="14" t="n">
        <v>10</v>
      </c>
      <c r="B11" s="14" t="s">
        <v>113</v>
      </c>
      <c r="C11" s="14" t="s">
        <v>104</v>
      </c>
      <c r="D11" s="14" t="s">
        <v>100</v>
      </c>
      <c r="E11" s="14" t="s">
        <v>53</v>
      </c>
      <c r="F11" s="14" t="s">
        <v>92</v>
      </c>
      <c r="G11" s="14" t="s">
        <v>93</v>
      </c>
      <c r="H11" s="14" t="s">
        <v>94</v>
      </c>
      <c r="I11" s="14" t="s">
        <v>116</v>
      </c>
    </row>
    <row r="12" customFormat="false" ht="15" hidden="false" customHeight="true" outlineLevel="0" collapsed="false">
      <c r="A12" s="11" t="n">
        <v>11</v>
      </c>
      <c r="B12" s="11" t="s">
        <v>113</v>
      </c>
      <c r="C12" s="11" t="s">
        <v>117</v>
      </c>
      <c r="D12" s="11" t="s">
        <v>103</v>
      </c>
      <c r="E12" s="11" t="s">
        <v>53</v>
      </c>
      <c r="F12" s="11" t="s">
        <v>110</v>
      </c>
      <c r="G12" s="11" t="s">
        <v>111</v>
      </c>
      <c r="H12" s="11" t="s">
        <v>94</v>
      </c>
      <c r="I12" s="11" t="s">
        <v>118</v>
      </c>
    </row>
    <row r="13" customFormat="false" ht="15" hidden="false" customHeight="true" outlineLevel="0" collapsed="false">
      <c r="A13" s="14" t="n">
        <v>12</v>
      </c>
      <c r="B13" s="14" t="s">
        <v>113</v>
      </c>
      <c r="C13" s="14" t="s">
        <v>119</v>
      </c>
      <c r="D13" s="14" t="s">
        <v>108</v>
      </c>
      <c r="E13" s="14" t="s">
        <v>53</v>
      </c>
      <c r="F13" s="14" t="s">
        <v>110</v>
      </c>
      <c r="G13" s="14" t="s">
        <v>111</v>
      </c>
      <c r="H13" s="14" t="s">
        <v>94</v>
      </c>
      <c r="I13" s="14" t="s">
        <v>120</v>
      </c>
    </row>
    <row r="14" customFormat="false" ht="15" hidden="false" customHeight="true" outlineLevel="0" collapsed="false">
      <c r="A14" s="11" t="n">
        <v>13</v>
      </c>
      <c r="B14" s="11" t="s">
        <v>121</v>
      </c>
      <c r="C14" s="11" t="s">
        <v>114</v>
      </c>
      <c r="D14" s="11" t="s">
        <v>106</v>
      </c>
      <c r="E14" s="11" t="s">
        <v>53</v>
      </c>
      <c r="F14" s="11" t="s">
        <v>92</v>
      </c>
      <c r="G14" s="11" t="s">
        <v>93</v>
      </c>
      <c r="H14" s="11" t="s">
        <v>94</v>
      </c>
      <c r="I14" s="11" t="s">
        <v>122</v>
      </c>
    </row>
    <row r="15" customFormat="false" ht="15" hidden="false" customHeight="true" outlineLevel="0" collapsed="false">
      <c r="A15" s="14" t="n">
        <v>14</v>
      </c>
      <c r="B15" s="14" t="s">
        <v>121</v>
      </c>
      <c r="C15" s="14" t="s">
        <v>123</v>
      </c>
      <c r="D15" s="14" t="s">
        <v>108</v>
      </c>
      <c r="E15" s="14" t="s">
        <v>53</v>
      </c>
      <c r="F15" s="14" t="s">
        <v>110</v>
      </c>
      <c r="G15" s="14" t="s">
        <v>111</v>
      </c>
      <c r="H15" s="14" t="s">
        <v>94</v>
      </c>
      <c r="I15" s="14" t="s">
        <v>124</v>
      </c>
    </row>
    <row r="16" customFormat="false" ht="15" hidden="false" customHeight="true" outlineLevel="0" collapsed="false">
      <c r="A16" s="11" t="n">
        <v>15</v>
      </c>
      <c r="B16" s="11" t="s">
        <v>121</v>
      </c>
      <c r="C16" s="11" t="s">
        <v>125</v>
      </c>
      <c r="D16" s="11" t="s">
        <v>108</v>
      </c>
      <c r="E16" s="11" t="s">
        <v>53</v>
      </c>
      <c r="F16" s="11" t="s">
        <v>110</v>
      </c>
      <c r="G16" s="11" t="s">
        <v>111</v>
      </c>
      <c r="H16" s="11" t="s">
        <v>94</v>
      </c>
      <c r="I16" s="11" t="s">
        <v>126</v>
      </c>
    </row>
    <row r="17" customFormat="false" ht="15" hidden="false" customHeight="true" outlineLevel="0" collapsed="false">
      <c r="A17" s="14" t="n">
        <v>16</v>
      </c>
      <c r="B17" s="14" t="s">
        <v>127</v>
      </c>
      <c r="C17" s="14" t="s">
        <v>114</v>
      </c>
      <c r="D17" s="14" t="s">
        <v>106</v>
      </c>
      <c r="E17" s="14" t="s">
        <v>53</v>
      </c>
      <c r="F17" s="14" t="s">
        <v>128</v>
      </c>
      <c r="G17" s="14" t="s">
        <v>93</v>
      </c>
      <c r="H17" s="14" t="s">
        <v>129</v>
      </c>
      <c r="I17" s="14" t="s">
        <v>130</v>
      </c>
    </row>
    <row r="18" customFormat="false" ht="15" hidden="false" customHeight="true" outlineLevel="0" collapsed="false">
      <c r="A18" s="11" t="n">
        <v>17</v>
      </c>
      <c r="B18" s="11" t="s">
        <v>127</v>
      </c>
      <c r="C18" s="11" t="s">
        <v>131</v>
      </c>
      <c r="D18" s="11" t="s">
        <v>113</v>
      </c>
      <c r="E18" s="11" t="s">
        <v>53</v>
      </c>
      <c r="F18" s="11" t="s">
        <v>128</v>
      </c>
      <c r="G18" s="11" t="s">
        <v>111</v>
      </c>
      <c r="H18" s="11" t="s">
        <v>129</v>
      </c>
      <c r="I18" s="11" t="s">
        <v>132</v>
      </c>
    </row>
    <row r="19" customFormat="false" ht="15" hidden="false" customHeight="true" outlineLevel="0" collapsed="false">
      <c r="A19" s="14" t="n">
        <v>18</v>
      </c>
      <c r="B19" s="14" t="s">
        <v>127</v>
      </c>
      <c r="C19" s="14" t="s">
        <v>133</v>
      </c>
      <c r="D19" s="14" t="s">
        <v>108</v>
      </c>
      <c r="E19" s="14" t="s">
        <v>53</v>
      </c>
      <c r="F19" s="14" t="s">
        <v>128</v>
      </c>
      <c r="G19" s="14" t="s">
        <v>111</v>
      </c>
      <c r="H19" s="14" t="s">
        <v>129</v>
      </c>
      <c r="I19" s="14" t="s">
        <v>134</v>
      </c>
    </row>
  </sheetData>
  <autoFilter ref="A1:I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9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60"/>
    <col collapsed="false" customWidth="true" hidden="false" outlineLevel="0" max="8" min="7" style="0" width="22"/>
  </cols>
  <sheetData>
    <row r="1" customFormat="false" ht="19.7" hidden="false" customHeight="false" outlineLevel="0" collapsed="false">
      <c r="A1" s="16" t="s">
        <v>135</v>
      </c>
    </row>
    <row r="2" customFormat="false" ht="15" hidden="false" customHeight="false" outlineLevel="0" collapsed="false">
      <c r="A2" s="17" t="s">
        <v>52</v>
      </c>
    </row>
    <row r="3" customFormat="false" ht="15" hidden="false" customHeight="false" outlineLevel="0" collapsed="false">
      <c r="A3" s="18" t="s">
        <v>136</v>
      </c>
    </row>
    <row r="4" customFormat="false" ht="15" hidden="false" customHeight="false" outlineLevel="0" collapsed="false">
      <c r="A4" s="19" t="str">
        <f aca="false">HYPERLINK("#Tables!A1","&lt;&lt; Back to Tables index")</f>
        <v>&lt;&lt; Back to Tables index</v>
      </c>
    </row>
    <row r="6" customFormat="false" ht="19.5" hidden="false" customHeight="true" outlineLevel="0" collapsed="false">
      <c r="A6" s="20" t="s">
        <v>137</v>
      </c>
      <c r="B6" s="21"/>
      <c r="C6" s="21"/>
      <c r="D6" s="21"/>
      <c r="E6" s="21"/>
      <c r="F6" s="21"/>
    </row>
    <row r="7" customFormat="false" ht="15" hidden="false" customHeight="false" outlineLevel="0" collapsed="false">
      <c r="A7" s="9" t="s">
        <v>138</v>
      </c>
      <c r="B7" s="9" t="s">
        <v>139</v>
      </c>
      <c r="C7" s="9" t="s">
        <v>140</v>
      </c>
      <c r="D7" s="9" t="s">
        <v>141</v>
      </c>
      <c r="E7" s="9" t="s">
        <v>142</v>
      </c>
      <c r="F7" s="9" t="s">
        <v>143</v>
      </c>
    </row>
    <row r="8" customFormat="false" ht="15" hidden="false" customHeight="false" outlineLevel="0" collapsed="false">
      <c r="A8" s="11" t="s">
        <v>53</v>
      </c>
      <c r="B8" s="11" t="s">
        <v>144</v>
      </c>
      <c r="C8" s="11" t="s">
        <v>145</v>
      </c>
      <c r="D8" s="11" t="s">
        <v>146</v>
      </c>
      <c r="E8" s="22" t="s">
        <v>147</v>
      </c>
      <c r="F8" s="11" t="s">
        <v>148</v>
      </c>
    </row>
    <row r="9" customFormat="false" ht="15" hidden="false" customHeight="false" outlineLevel="0" collapsed="false">
      <c r="A9" s="14" t="s">
        <v>149</v>
      </c>
      <c r="B9" s="14" t="s">
        <v>150</v>
      </c>
      <c r="C9" s="14" t="s">
        <v>145</v>
      </c>
      <c r="D9" s="14" t="s">
        <v>151</v>
      </c>
      <c r="E9" s="14" t="s">
        <v>152</v>
      </c>
      <c r="F9" s="14" t="s">
        <v>153</v>
      </c>
    </row>
    <row r="10" customFormat="false" ht="15" hidden="false" customHeight="false" outlineLevel="0" collapsed="false">
      <c r="A10" s="11" t="s">
        <v>154</v>
      </c>
      <c r="B10" s="11" t="s">
        <v>155</v>
      </c>
      <c r="C10" s="11" t="s">
        <v>145</v>
      </c>
      <c r="D10" s="11"/>
      <c r="E10" s="11"/>
      <c r="F10" s="11" t="s">
        <v>156</v>
      </c>
    </row>
    <row r="11" customFormat="false" ht="15" hidden="false" customHeight="false" outlineLevel="0" collapsed="false">
      <c r="A11" s="14" t="s">
        <v>157</v>
      </c>
      <c r="B11" s="14" t="s">
        <v>158</v>
      </c>
      <c r="C11" s="14" t="s">
        <v>145</v>
      </c>
      <c r="D11" s="14"/>
      <c r="E11" s="14" t="s">
        <v>152</v>
      </c>
      <c r="F11" s="14" t="s">
        <v>159</v>
      </c>
    </row>
    <row r="12" customFormat="false" ht="57.45" hidden="false" customHeight="false" outlineLevel="0" collapsed="false">
      <c r="A12" s="11" t="s">
        <v>160</v>
      </c>
      <c r="B12" s="11" t="s">
        <v>161</v>
      </c>
      <c r="C12" s="11" t="s">
        <v>145</v>
      </c>
      <c r="D12" s="11" t="s">
        <v>162</v>
      </c>
      <c r="E12" s="11"/>
      <c r="F12" s="11" t="s">
        <v>163</v>
      </c>
    </row>
    <row r="13" customFormat="false" ht="15" hidden="false" customHeight="false" outlineLevel="0" collapsed="false">
      <c r="A13" s="14" t="s">
        <v>164</v>
      </c>
      <c r="B13" s="14" t="s">
        <v>165</v>
      </c>
      <c r="C13" s="14" t="s">
        <v>145</v>
      </c>
      <c r="D13" s="14" t="s">
        <v>166</v>
      </c>
      <c r="E13" s="14"/>
      <c r="F13" s="14" t="s">
        <v>167</v>
      </c>
    </row>
    <row r="14" customFormat="false" ht="15" hidden="false" customHeight="false" outlineLevel="0" collapsed="false">
      <c r="A14" s="11" t="s">
        <v>168</v>
      </c>
      <c r="B14" s="11" t="s">
        <v>169</v>
      </c>
      <c r="C14" s="11" t="s">
        <v>145</v>
      </c>
      <c r="D14" s="11" t="s">
        <v>170</v>
      </c>
      <c r="E14" s="11"/>
      <c r="F14" s="11" t="s">
        <v>171</v>
      </c>
    </row>
    <row r="15" customFormat="false" ht="15" hidden="false" customHeight="false" outlineLevel="0" collapsed="false">
      <c r="A15" s="14" t="s">
        <v>172</v>
      </c>
      <c r="B15" s="14" t="s">
        <v>169</v>
      </c>
      <c r="C15" s="14" t="s">
        <v>145</v>
      </c>
      <c r="D15" s="14" t="s">
        <v>170</v>
      </c>
      <c r="E15" s="14"/>
      <c r="F15" s="14" t="s">
        <v>173</v>
      </c>
    </row>
    <row r="17" customFormat="false" ht="19.5" hidden="false" customHeight="true" outlineLevel="0" collapsed="false">
      <c r="A17" s="20" t="s">
        <v>174</v>
      </c>
      <c r="B17" s="21"/>
      <c r="C17" s="21"/>
      <c r="D17" s="21"/>
      <c r="E17" s="21"/>
      <c r="F17" s="21"/>
    </row>
    <row r="18" customFormat="false" ht="15" hidden="false" customHeight="false" outlineLevel="0" collapsed="false">
      <c r="A18" s="9" t="s">
        <v>175</v>
      </c>
      <c r="B18" s="9" t="s">
        <v>176</v>
      </c>
      <c r="C18" s="9" t="s">
        <v>177</v>
      </c>
      <c r="D18" s="9" t="s">
        <v>178</v>
      </c>
      <c r="E18" s="9" t="s">
        <v>86</v>
      </c>
      <c r="F18" s="9" t="s">
        <v>179</v>
      </c>
    </row>
    <row r="19" customFormat="false" ht="15" hidden="false" customHeight="false" outlineLevel="0" collapsed="false">
      <c r="A19" s="11" t="s">
        <v>180</v>
      </c>
      <c r="B19" s="11" t="s">
        <v>53</v>
      </c>
      <c r="C19" s="11" t="s">
        <v>90</v>
      </c>
      <c r="D19" s="11" t="s">
        <v>91</v>
      </c>
      <c r="E19" s="11" t="s">
        <v>92</v>
      </c>
      <c r="F19" s="11" t="s">
        <v>181</v>
      </c>
    </row>
    <row r="20" customFormat="false" ht="15" hidden="false" customHeight="false" outlineLevel="0" collapsed="false">
      <c r="A20" s="14" t="s">
        <v>180</v>
      </c>
      <c r="B20" s="14" t="s">
        <v>53</v>
      </c>
      <c r="C20" s="14" t="s">
        <v>96</v>
      </c>
      <c r="D20" s="14" t="s">
        <v>91</v>
      </c>
      <c r="E20" s="14" t="s">
        <v>92</v>
      </c>
      <c r="F20" s="14" t="s">
        <v>182</v>
      </c>
    </row>
    <row r="21" customFormat="false" ht="15" hidden="false" customHeight="false" outlineLevel="0" collapsed="false">
      <c r="A21" s="11" t="s">
        <v>180</v>
      </c>
      <c r="B21" s="11" t="s">
        <v>53</v>
      </c>
      <c r="C21" s="11" t="s">
        <v>108</v>
      </c>
      <c r="D21" s="11" t="s">
        <v>91</v>
      </c>
      <c r="E21" s="11" t="s">
        <v>92</v>
      </c>
      <c r="F21" s="11" t="s">
        <v>183</v>
      </c>
    </row>
    <row r="23" customFormat="false" ht="19.5" hidden="false" customHeight="true" outlineLevel="0" collapsed="false">
      <c r="A23" s="20" t="s">
        <v>184</v>
      </c>
      <c r="B23" s="21"/>
      <c r="C23" s="21"/>
      <c r="D23" s="21"/>
      <c r="E23" s="21"/>
      <c r="F23" s="21"/>
    </row>
    <row r="24" customFormat="false" ht="15" hidden="false" customHeight="true" outlineLevel="0" collapsed="false">
      <c r="A24" s="9" t="s">
        <v>185</v>
      </c>
      <c r="B24" s="9" t="s">
        <v>42</v>
      </c>
      <c r="C24" s="9" t="s">
        <v>186</v>
      </c>
      <c r="D24" s="9"/>
      <c r="E24" s="9"/>
      <c r="F24" s="9" t="s">
        <v>43</v>
      </c>
    </row>
    <row r="25" customFormat="false" ht="15" hidden="false" customHeight="true" outlineLevel="0" collapsed="false">
      <c r="A25" s="11" t="s">
        <v>187</v>
      </c>
      <c r="B25" s="11" t="s">
        <v>188</v>
      </c>
      <c r="C25" s="11" t="s">
        <v>189</v>
      </c>
      <c r="D25" s="11"/>
      <c r="E25" s="11"/>
      <c r="F25" s="11" t="s">
        <v>190</v>
      </c>
    </row>
    <row r="26" customFormat="false" ht="15" hidden="false" customHeight="true" outlineLevel="0" collapsed="false">
      <c r="A26" s="14" t="s">
        <v>191</v>
      </c>
      <c r="B26" s="14" t="s">
        <v>192</v>
      </c>
      <c r="C26" s="14" t="s">
        <v>149</v>
      </c>
      <c r="D26" s="14"/>
      <c r="E26" s="14"/>
      <c r="F26" s="14" t="s">
        <v>193</v>
      </c>
    </row>
    <row r="27" customFormat="false" ht="15" hidden="false" customHeight="true" outlineLevel="0" collapsed="false">
      <c r="A27" s="11" t="s">
        <v>194</v>
      </c>
      <c r="B27" s="11" t="s">
        <v>192</v>
      </c>
      <c r="C27" s="11" t="s">
        <v>157</v>
      </c>
      <c r="D27" s="11"/>
      <c r="E27" s="11"/>
      <c r="F27" s="11" t="s">
        <v>195</v>
      </c>
    </row>
    <row r="29" customFormat="false" ht="19.5" hidden="false" customHeight="true" outlineLevel="0" collapsed="false">
      <c r="A29" s="20" t="s">
        <v>196</v>
      </c>
      <c r="B29" s="21"/>
      <c r="C29" s="21"/>
      <c r="D29" s="21"/>
      <c r="E29" s="21"/>
      <c r="F29" s="21"/>
    </row>
    <row r="30" customFormat="false" ht="15" hidden="false" customHeight="true" outlineLevel="0" collapsed="false">
      <c r="A30" s="9" t="s">
        <v>197</v>
      </c>
      <c r="B30" s="9" t="s">
        <v>42</v>
      </c>
      <c r="C30" s="9" t="s">
        <v>198</v>
      </c>
      <c r="D30" s="9"/>
      <c r="E30" s="9"/>
      <c r="F30" s="9" t="s">
        <v>43</v>
      </c>
    </row>
    <row r="31" customFormat="false" ht="15" hidden="false" customHeight="false" outlineLevel="0" collapsed="false">
      <c r="A31" s="11" t="s">
        <v>199</v>
      </c>
      <c r="B31" s="11"/>
      <c r="C31" s="11"/>
      <c r="D31" s="11"/>
      <c r="E31" s="11"/>
      <c r="F31" s="11" t="s">
        <v>200</v>
      </c>
    </row>
    <row r="33" customFormat="false" ht="19.5" hidden="false" customHeight="true" outlineLevel="0" collapsed="false">
      <c r="A33" s="20" t="s">
        <v>201</v>
      </c>
      <c r="B33" s="21"/>
      <c r="C33" s="21"/>
      <c r="D33" s="21"/>
      <c r="E33" s="21"/>
      <c r="F33" s="21"/>
      <c r="G33" s="21"/>
      <c r="H33" s="21"/>
    </row>
    <row r="34" customFormat="false" ht="15" hidden="false" customHeight="false" outlineLevel="0" collapsed="false">
      <c r="A34" s="9" t="s">
        <v>53</v>
      </c>
      <c r="B34" s="9" t="s">
        <v>149</v>
      </c>
      <c r="C34" s="9" t="s">
        <v>154</v>
      </c>
      <c r="D34" s="9" t="s">
        <v>157</v>
      </c>
      <c r="E34" s="9" t="s">
        <v>160</v>
      </c>
      <c r="F34" s="9" t="s">
        <v>164</v>
      </c>
      <c r="G34" s="9" t="s">
        <v>168</v>
      </c>
      <c r="H34" s="9" t="s">
        <v>172</v>
      </c>
    </row>
    <row r="35" customFormat="false" ht="15" hidden="false" customHeight="false" outlineLevel="0" collapsed="false">
      <c r="A35" s="23" t="n">
        <v>1</v>
      </c>
      <c r="B35" s="23" t="s">
        <v>202</v>
      </c>
      <c r="C35" s="23" t="s">
        <v>203</v>
      </c>
      <c r="D35" s="23" t="s">
        <v>204</v>
      </c>
      <c r="E35" s="23" t="s">
        <v>205</v>
      </c>
      <c r="F35" s="24" t="b">
        <f aca="false">TRUE()</f>
        <v>1</v>
      </c>
      <c r="G35" s="25" t="n">
        <v>46032.375</v>
      </c>
      <c r="H35" s="25" t="n">
        <v>46032.375</v>
      </c>
    </row>
    <row r="36" customFormat="false" ht="15" hidden="false" customHeight="false" outlineLevel="0" collapsed="false">
      <c r="A36" s="26" t="n">
        <v>2</v>
      </c>
      <c r="B36" s="26" t="s">
        <v>206</v>
      </c>
      <c r="C36" s="26" t="s">
        <v>207</v>
      </c>
      <c r="D36" s="26" t="s">
        <v>208</v>
      </c>
      <c r="E36" s="26" t="s">
        <v>209</v>
      </c>
      <c r="F36" s="27" t="b">
        <f aca="false">TRUE()</f>
        <v>1</v>
      </c>
      <c r="G36" s="28" t="n">
        <v>46032.375</v>
      </c>
      <c r="H36" s="28" t="n">
        <v>46032.375</v>
      </c>
    </row>
    <row r="37" customFormat="false" ht="15" hidden="false" customHeight="false" outlineLevel="0" collapsed="false">
      <c r="A37" s="23" t="n">
        <v>3</v>
      </c>
      <c r="B37" s="23" t="s">
        <v>210</v>
      </c>
      <c r="C37" s="23" t="s">
        <v>211</v>
      </c>
      <c r="D37" s="23" t="s">
        <v>212</v>
      </c>
      <c r="E37" s="23" t="s">
        <v>213</v>
      </c>
      <c r="F37" s="24" t="b">
        <f aca="false">TRUE()</f>
        <v>1</v>
      </c>
      <c r="G37" s="25" t="n">
        <v>46032.375</v>
      </c>
      <c r="H37" s="25" t="n">
        <v>46032.375</v>
      </c>
    </row>
  </sheetData>
  <mergeCells count="6">
    <mergeCell ref="C24:E24"/>
    <mergeCell ref="C25:E25"/>
    <mergeCell ref="C26:E26"/>
    <mergeCell ref="C27:E27"/>
    <mergeCell ref="C30:E30"/>
    <mergeCell ref="C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60"/>
    <col collapsed="false" customWidth="true" hidden="false" outlineLevel="0" max="7" min="7" style="0" width="22"/>
  </cols>
  <sheetData>
    <row r="1" customFormat="false" ht="19.7" hidden="false" customHeight="false" outlineLevel="0" collapsed="false">
      <c r="A1" s="16" t="s">
        <v>214</v>
      </c>
    </row>
    <row r="2" customFormat="false" ht="15" hidden="false" customHeight="false" outlineLevel="0" collapsed="false">
      <c r="A2" s="17" t="s">
        <v>54</v>
      </c>
    </row>
    <row r="3" customFormat="false" ht="15" hidden="false" customHeight="false" outlineLevel="0" collapsed="false">
      <c r="A3" s="18" t="s">
        <v>136</v>
      </c>
    </row>
    <row r="4" customFormat="false" ht="15" hidden="false" customHeight="false" outlineLevel="0" collapsed="false">
      <c r="A4" s="19" t="str">
        <f aca="false">HYPERLINK("#Tables!A1","&lt;&lt; Back to Tables index")</f>
        <v>&lt;&lt; Back to Tables index</v>
      </c>
    </row>
    <row r="6" customFormat="false" ht="19.5" hidden="false" customHeight="true" outlineLevel="0" collapsed="false">
      <c r="A6" s="20" t="s">
        <v>137</v>
      </c>
      <c r="B6" s="21"/>
      <c r="C6" s="21"/>
      <c r="D6" s="21"/>
      <c r="E6" s="21"/>
      <c r="F6" s="21"/>
    </row>
    <row r="7" customFormat="false" ht="15" hidden="false" customHeight="false" outlineLevel="0" collapsed="false">
      <c r="A7" s="9" t="s">
        <v>138</v>
      </c>
      <c r="B7" s="9" t="s">
        <v>139</v>
      </c>
      <c r="C7" s="9" t="s">
        <v>140</v>
      </c>
      <c r="D7" s="9" t="s">
        <v>141</v>
      </c>
      <c r="E7" s="9" t="s">
        <v>142</v>
      </c>
      <c r="F7" s="9" t="s">
        <v>143</v>
      </c>
    </row>
    <row r="8" customFormat="false" ht="15" hidden="false" customHeight="false" outlineLevel="0" collapsed="false">
      <c r="A8" s="11" t="s">
        <v>53</v>
      </c>
      <c r="B8" s="11" t="s">
        <v>144</v>
      </c>
      <c r="C8" s="11" t="s">
        <v>145</v>
      </c>
      <c r="D8" s="11" t="s">
        <v>146</v>
      </c>
      <c r="E8" s="22" t="s">
        <v>147</v>
      </c>
      <c r="F8" s="11" t="s">
        <v>215</v>
      </c>
    </row>
    <row r="9" customFormat="false" ht="15" hidden="false" customHeight="false" outlineLevel="0" collapsed="false">
      <c r="A9" s="14" t="s">
        <v>91</v>
      </c>
      <c r="B9" s="14" t="s">
        <v>216</v>
      </c>
      <c r="C9" s="14" t="s">
        <v>145</v>
      </c>
      <c r="D9" s="14"/>
      <c r="E9" s="29" t="s">
        <v>217</v>
      </c>
      <c r="F9" s="14" t="s">
        <v>218</v>
      </c>
    </row>
    <row r="10" customFormat="false" ht="15" hidden="false" customHeight="false" outlineLevel="0" collapsed="false">
      <c r="A10" s="11" t="s">
        <v>154</v>
      </c>
      <c r="B10" s="11" t="s">
        <v>158</v>
      </c>
      <c r="C10" s="11" t="s">
        <v>145</v>
      </c>
      <c r="D10" s="11"/>
      <c r="E10" s="11" t="s">
        <v>219</v>
      </c>
      <c r="F10" s="11" t="s">
        <v>220</v>
      </c>
    </row>
    <row r="11" customFormat="false" ht="15" hidden="false" customHeight="false" outlineLevel="0" collapsed="false">
      <c r="A11" s="14" t="s">
        <v>221</v>
      </c>
      <c r="B11" s="14" t="s">
        <v>158</v>
      </c>
      <c r="C11" s="14" t="s">
        <v>222</v>
      </c>
      <c r="D11" s="14"/>
      <c r="E11" s="14"/>
      <c r="F11" s="14" t="s">
        <v>223</v>
      </c>
    </row>
    <row r="12" customFormat="false" ht="15" hidden="false" customHeight="false" outlineLevel="0" collapsed="false">
      <c r="A12" s="11" t="s">
        <v>224</v>
      </c>
      <c r="B12" s="11" t="s">
        <v>225</v>
      </c>
      <c r="C12" s="11" t="s">
        <v>145</v>
      </c>
      <c r="D12" s="11" t="s">
        <v>226</v>
      </c>
      <c r="E12" s="11"/>
      <c r="F12" s="11" t="s">
        <v>227</v>
      </c>
    </row>
    <row r="13" customFormat="false" ht="15" hidden="false" customHeight="false" outlineLevel="0" collapsed="false">
      <c r="A13" s="14" t="s">
        <v>168</v>
      </c>
      <c r="B13" s="14" t="s">
        <v>169</v>
      </c>
      <c r="C13" s="14" t="s">
        <v>145</v>
      </c>
      <c r="D13" s="14" t="s">
        <v>170</v>
      </c>
      <c r="E13" s="14"/>
      <c r="F13" s="14" t="s">
        <v>171</v>
      </c>
    </row>
    <row r="14" customFormat="false" ht="15" hidden="false" customHeight="false" outlineLevel="0" collapsed="false">
      <c r="A14" s="11" t="s">
        <v>172</v>
      </c>
      <c r="B14" s="11" t="s">
        <v>169</v>
      </c>
      <c r="C14" s="11" t="s">
        <v>145</v>
      </c>
      <c r="D14" s="11" t="s">
        <v>170</v>
      </c>
      <c r="E14" s="11"/>
      <c r="F14" s="11" t="s">
        <v>228</v>
      </c>
    </row>
    <row r="16" customFormat="false" ht="19.5" hidden="false" customHeight="true" outlineLevel="0" collapsed="false">
      <c r="A16" s="20" t="s">
        <v>174</v>
      </c>
      <c r="B16" s="21"/>
      <c r="C16" s="21"/>
      <c r="D16" s="21"/>
      <c r="E16" s="21"/>
      <c r="F16" s="21"/>
    </row>
    <row r="17" customFormat="false" ht="15" hidden="false" customHeight="false" outlineLevel="0" collapsed="false">
      <c r="A17" s="9" t="s">
        <v>175</v>
      </c>
      <c r="B17" s="9" t="s">
        <v>176</v>
      </c>
      <c r="C17" s="9" t="s">
        <v>177</v>
      </c>
      <c r="D17" s="9" t="s">
        <v>178</v>
      </c>
      <c r="E17" s="9" t="s">
        <v>86</v>
      </c>
      <c r="F17" s="9" t="s">
        <v>179</v>
      </c>
    </row>
    <row r="18" customFormat="false" ht="15" hidden="false" customHeight="false" outlineLevel="0" collapsed="false">
      <c r="A18" s="11" t="s">
        <v>229</v>
      </c>
      <c r="B18" s="11" t="s">
        <v>91</v>
      </c>
      <c r="C18" s="11" t="s">
        <v>14</v>
      </c>
      <c r="D18" s="11" t="s">
        <v>53</v>
      </c>
      <c r="E18" s="11" t="s">
        <v>92</v>
      </c>
      <c r="F18" s="11" t="s">
        <v>181</v>
      </c>
    </row>
    <row r="19" customFormat="false" ht="15" hidden="false" customHeight="false" outlineLevel="0" collapsed="false">
      <c r="A19" s="14" t="s">
        <v>180</v>
      </c>
      <c r="B19" s="14" t="s">
        <v>53</v>
      </c>
      <c r="C19" s="14" t="s">
        <v>96</v>
      </c>
      <c r="D19" s="14" t="s">
        <v>98</v>
      </c>
      <c r="E19" s="14" t="s">
        <v>92</v>
      </c>
      <c r="F19" s="14" t="s">
        <v>230</v>
      </c>
    </row>
    <row r="21" customFormat="false" ht="19.5" hidden="false" customHeight="true" outlineLevel="0" collapsed="false">
      <c r="A21" s="20" t="s">
        <v>184</v>
      </c>
      <c r="B21" s="21"/>
      <c r="C21" s="21"/>
      <c r="D21" s="21"/>
      <c r="E21" s="21"/>
      <c r="F21" s="21"/>
    </row>
    <row r="22" customFormat="false" ht="15" hidden="false" customHeight="true" outlineLevel="0" collapsed="false">
      <c r="A22" s="9" t="s">
        <v>185</v>
      </c>
      <c r="B22" s="9" t="s">
        <v>42</v>
      </c>
      <c r="C22" s="9" t="s">
        <v>186</v>
      </c>
      <c r="D22" s="9"/>
      <c r="E22" s="9"/>
      <c r="F22" s="9" t="s">
        <v>43</v>
      </c>
    </row>
    <row r="23" customFormat="false" ht="15" hidden="false" customHeight="true" outlineLevel="0" collapsed="false">
      <c r="A23" s="11" t="s">
        <v>231</v>
      </c>
      <c r="B23" s="11" t="s">
        <v>188</v>
      </c>
      <c r="C23" s="11" t="s">
        <v>189</v>
      </c>
      <c r="D23" s="11"/>
      <c r="E23" s="11"/>
      <c r="F23" s="11" t="s">
        <v>190</v>
      </c>
    </row>
    <row r="24" customFormat="false" ht="15" hidden="false" customHeight="true" outlineLevel="0" collapsed="false">
      <c r="A24" s="14" t="s">
        <v>232</v>
      </c>
      <c r="B24" s="14" t="s">
        <v>192</v>
      </c>
      <c r="C24" s="14" t="s">
        <v>233</v>
      </c>
      <c r="D24" s="14"/>
      <c r="E24" s="14"/>
      <c r="F24" s="14" t="s">
        <v>234</v>
      </c>
    </row>
    <row r="26" customFormat="false" ht="19.5" hidden="false" customHeight="true" outlineLevel="0" collapsed="false">
      <c r="A26" s="20" t="s">
        <v>196</v>
      </c>
      <c r="B26" s="21"/>
      <c r="C26" s="21"/>
      <c r="D26" s="21"/>
      <c r="E26" s="21"/>
      <c r="F26" s="21"/>
    </row>
    <row r="27" customFormat="false" ht="15" hidden="false" customHeight="true" outlineLevel="0" collapsed="false">
      <c r="A27" s="9" t="s">
        <v>197</v>
      </c>
      <c r="B27" s="9" t="s">
        <v>42</v>
      </c>
      <c r="C27" s="9" t="s">
        <v>198</v>
      </c>
      <c r="D27" s="9"/>
      <c r="E27" s="9"/>
      <c r="F27" s="9" t="s">
        <v>43</v>
      </c>
    </row>
    <row r="28" customFormat="false" ht="15" hidden="false" customHeight="false" outlineLevel="0" collapsed="false">
      <c r="A28" s="11" t="s">
        <v>199</v>
      </c>
      <c r="B28" s="11"/>
      <c r="C28" s="11"/>
      <c r="D28" s="11"/>
      <c r="E28" s="11"/>
      <c r="F28" s="11" t="s">
        <v>200</v>
      </c>
    </row>
    <row r="30" customFormat="false" ht="19.5" hidden="false" customHeight="true" outlineLevel="0" collapsed="false">
      <c r="A30" s="20" t="s">
        <v>235</v>
      </c>
      <c r="B30" s="21"/>
      <c r="C30" s="21"/>
      <c r="D30" s="21"/>
      <c r="E30" s="21"/>
      <c r="F30" s="21"/>
      <c r="G30" s="21"/>
    </row>
    <row r="31" customFormat="false" ht="15" hidden="false" customHeight="false" outlineLevel="0" collapsed="false">
      <c r="A31" s="9" t="s">
        <v>53</v>
      </c>
      <c r="B31" s="9" t="s">
        <v>91</v>
      </c>
      <c r="C31" s="9" t="s">
        <v>154</v>
      </c>
      <c r="D31" s="9" t="s">
        <v>221</v>
      </c>
      <c r="E31" s="9" t="s">
        <v>224</v>
      </c>
      <c r="F31" s="9" t="s">
        <v>168</v>
      </c>
      <c r="G31" s="9" t="s">
        <v>172</v>
      </c>
    </row>
    <row r="32" customFormat="false" ht="15" hidden="false" customHeight="false" outlineLevel="0" collapsed="false">
      <c r="A32" s="23" t="n">
        <v>1</v>
      </c>
      <c r="B32" s="23" t="n">
        <v>1</v>
      </c>
      <c r="C32" s="23" t="s">
        <v>236</v>
      </c>
      <c r="D32" s="23" t="s">
        <v>237</v>
      </c>
      <c r="E32" s="23" t="s">
        <v>238</v>
      </c>
      <c r="F32" s="25" t="n">
        <v>46032.375</v>
      </c>
      <c r="G32" s="25" t="n">
        <v>46032.375</v>
      </c>
    </row>
    <row r="33" customFormat="false" ht="15" hidden="false" customHeight="false" outlineLevel="0" collapsed="false">
      <c r="A33" s="26" t="n">
        <v>2</v>
      </c>
      <c r="B33" s="26" t="n">
        <v>1</v>
      </c>
      <c r="C33" s="26" t="s">
        <v>239</v>
      </c>
      <c r="D33" s="26" t="s">
        <v>240</v>
      </c>
      <c r="E33" s="26" t="s">
        <v>238</v>
      </c>
      <c r="F33" s="28" t="n">
        <v>46032.375</v>
      </c>
      <c r="G33" s="28" t="n">
        <v>46032.375</v>
      </c>
    </row>
    <row r="34" customFormat="false" ht="15" hidden="false" customHeight="false" outlineLevel="0" collapsed="false">
      <c r="A34" s="23" t="n">
        <v>3</v>
      </c>
      <c r="B34" s="23" t="n">
        <v>2</v>
      </c>
      <c r="C34" s="23" t="s">
        <v>241</v>
      </c>
      <c r="D34" s="23" t="s">
        <v>242</v>
      </c>
      <c r="E34" s="23" t="s">
        <v>238</v>
      </c>
      <c r="F34" s="25" t="n">
        <v>46032.375</v>
      </c>
      <c r="G34" s="25" t="n">
        <v>46032.375</v>
      </c>
    </row>
    <row r="35" customFormat="false" ht="15" hidden="false" customHeight="false" outlineLevel="0" collapsed="false">
      <c r="A35" s="26" t="n">
        <v>4</v>
      </c>
      <c r="B35" s="26" t="n">
        <v>2</v>
      </c>
      <c r="C35" s="26" t="s">
        <v>243</v>
      </c>
      <c r="D35" s="26" t="s">
        <v>244</v>
      </c>
      <c r="E35" s="26" t="s">
        <v>238</v>
      </c>
      <c r="F35" s="28" t="n">
        <v>46032.375</v>
      </c>
      <c r="G35" s="28" t="n">
        <v>46032.375</v>
      </c>
    </row>
    <row r="36" customFormat="false" ht="15" hidden="false" customHeight="false" outlineLevel="0" collapsed="false">
      <c r="A36" s="23" t="n">
        <v>5</v>
      </c>
      <c r="B36" s="23" t="n">
        <v>3</v>
      </c>
      <c r="C36" s="23" t="s">
        <v>245</v>
      </c>
      <c r="D36" s="23" t="s">
        <v>246</v>
      </c>
      <c r="E36" s="23" t="s">
        <v>238</v>
      </c>
      <c r="F36" s="25" t="n">
        <v>46032.375</v>
      </c>
      <c r="G36" s="25" t="n">
        <v>46032.375</v>
      </c>
    </row>
    <row r="37" customFormat="false" ht="15" hidden="false" customHeight="false" outlineLevel="0" collapsed="false">
      <c r="A37" s="26" t="n">
        <v>6</v>
      </c>
      <c r="B37" s="26" t="n">
        <v>3</v>
      </c>
      <c r="C37" s="26" t="s">
        <v>247</v>
      </c>
      <c r="D37" s="26" t="s">
        <v>248</v>
      </c>
      <c r="E37" s="26" t="s">
        <v>238</v>
      </c>
      <c r="F37" s="28" t="n">
        <v>46032.375</v>
      </c>
      <c r="G37" s="28" t="n">
        <v>46032.375</v>
      </c>
    </row>
  </sheetData>
  <mergeCells count="5">
    <mergeCell ref="C22:E22"/>
    <mergeCell ref="C23:E23"/>
    <mergeCell ref="C24:E24"/>
    <mergeCell ref="C27:E27"/>
    <mergeCell ref="C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6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10" min="9" style="0" width="22"/>
  </cols>
  <sheetData>
    <row r="1" customFormat="false" ht="19.7" hidden="false" customHeight="false" outlineLevel="0" collapsed="false">
      <c r="A1" s="16" t="s">
        <v>249</v>
      </c>
    </row>
    <row r="2" customFormat="false" ht="15" hidden="false" customHeight="false" outlineLevel="0" collapsed="false">
      <c r="A2" s="17" t="s">
        <v>55</v>
      </c>
    </row>
    <row r="3" customFormat="false" ht="15" hidden="false" customHeight="false" outlineLevel="0" collapsed="false">
      <c r="A3" s="18" t="s">
        <v>136</v>
      </c>
    </row>
    <row r="4" customFormat="false" ht="15" hidden="false" customHeight="false" outlineLevel="0" collapsed="false">
      <c r="A4" s="19" t="str">
        <f aca="false">HYPERLINK("#Tables!A1","&lt;&lt; Back to Tables index")</f>
        <v>&lt;&lt; Back to Tables index</v>
      </c>
    </row>
    <row r="6" customFormat="false" ht="19.5" hidden="false" customHeight="true" outlineLevel="0" collapsed="false">
      <c r="A6" s="20" t="s">
        <v>137</v>
      </c>
      <c r="B6" s="21"/>
      <c r="C6" s="21"/>
      <c r="D6" s="21"/>
      <c r="E6" s="21"/>
      <c r="F6" s="21"/>
    </row>
    <row r="7" customFormat="false" ht="15" hidden="false" customHeight="false" outlineLevel="0" collapsed="false">
      <c r="A7" s="9" t="s">
        <v>138</v>
      </c>
      <c r="B7" s="9" t="s">
        <v>139</v>
      </c>
      <c r="C7" s="9" t="s">
        <v>140</v>
      </c>
      <c r="D7" s="9" t="s">
        <v>141</v>
      </c>
      <c r="E7" s="9" t="s">
        <v>142</v>
      </c>
      <c r="F7" s="9" t="s">
        <v>143</v>
      </c>
    </row>
    <row r="8" customFormat="false" ht="15" hidden="false" customHeight="false" outlineLevel="0" collapsed="false">
      <c r="A8" s="11" t="s">
        <v>53</v>
      </c>
      <c r="B8" s="11" t="s">
        <v>144</v>
      </c>
      <c r="C8" s="11" t="s">
        <v>145</v>
      </c>
      <c r="D8" s="11" t="s">
        <v>146</v>
      </c>
      <c r="E8" s="22" t="s">
        <v>147</v>
      </c>
      <c r="F8" s="11" t="s">
        <v>250</v>
      </c>
    </row>
    <row r="9" customFormat="false" ht="15" hidden="false" customHeight="false" outlineLevel="0" collapsed="false">
      <c r="A9" s="14" t="s">
        <v>91</v>
      </c>
      <c r="B9" s="14" t="s">
        <v>216</v>
      </c>
      <c r="C9" s="14" t="s">
        <v>145</v>
      </c>
      <c r="D9" s="14"/>
      <c r="E9" s="29" t="s">
        <v>217</v>
      </c>
      <c r="F9" s="14" t="s">
        <v>218</v>
      </c>
    </row>
    <row r="10" customFormat="false" ht="15" hidden="false" customHeight="false" outlineLevel="0" collapsed="false">
      <c r="A10" s="11" t="s">
        <v>98</v>
      </c>
      <c r="B10" s="11" t="s">
        <v>216</v>
      </c>
      <c r="C10" s="11" t="s">
        <v>145</v>
      </c>
      <c r="D10" s="11"/>
      <c r="E10" s="29" t="s">
        <v>251</v>
      </c>
      <c r="F10" s="11" t="s">
        <v>252</v>
      </c>
    </row>
    <row r="11" customFormat="false" ht="15" hidden="false" customHeight="false" outlineLevel="0" collapsed="false">
      <c r="A11" s="14" t="s">
        <v>154</v>
      </c>
      <c r="B11" s="14" t="s">
        <v>155</v>
      </c>
      <c r="C11" s="14" t="s">
        <v>145</v>
      </c>
      <c r="D11" s="14"/>
      <c r="E11" s="14"/>
      <c r="F11" s="14" t="s">
        <v>253</v>
      </c>
    </row>
    <row r="12" customFormat="false" ht="15" hidden="false" customHeight="false" outlineLevel="0" collapsed="false">
      <c r="A12" s="11" t="s">
        <v>254</v>
      </c>
      <c r="B12" s="11" t="s">
        <v>255</v>
      </c>
      <c r="C12" s="11" t="s">
        <v>145</v>
      </c>
      <c r="D12" s="11"/>
      <c r="E12" s="11" t="s">
        <v>152</v>
      </c>
      <c r="F12" s="11" t="s">
        <v>256</v>
      </c>
    </row>
    <row r="13" customFormat="false" ht="15" hidden="false" customHeight="false" outlineLevel="0" collapsed="false">
      <c r="A13" s="14" t="s">
        <v>257</v>
      </c>
      <c r="B13" s="14" t="s">
        <v>258</v>
      </c>
      <c r="C13" s="14" t="s">
        <v>222</v>
      </c>
      <c r="D13" s="14"/>
      <c r="E13" s="14"/>
      <c r="F13" s="14" t="s">
        <v>259</v>
      </c>
    </row>
    <row r="14" customFormat="false" ht="15" hidden="false" customHeight="false" outlineLevel="0" collapsed="false">
      <c r="A14" s="11" t="s">
        <v>260</v>
      </c>
      <c r="B14" s="11" t="s">
        <v>255</v>
      </c>
      <c r="C14" s="11" t="s">
        <v>145</v>
      </c>
      <c r="D14" s="11" t="s">
        <v>261</v>
      </c>
      <c r="E14" s="11"/>
      <c r="F14" s="11" t="s">
        <v>262</v>
      </c>
    </row>
    <row r="15" customFormat="false" ht="15" hidden="false" customHeight="false" outlineLevel="0" collapsed="false">
      <c r="A15" s="14" t="s">
        <v>164</v>
      </c>
      <c r="B15" s="14" t="s">
        <v>165</v>
      </c>
      <c r="C15" s="14" t="s">
        <v>145</v>
      </c>
      <c r="D15" s="14" t="s">
        <v>166</v>
      </c>
      <c r="E15" s="14"/>
      <c r="F15" s="14" t="s">
        <v>263</v>
      </c>
    </row>
    <row r="16" customFormat="false" ht="15" hidden="false" customHeight="false" outlineLevel="0" collapsed="false">
      <c r="A16" s="11" t="s">
        <v>168</v>
      </c>
      <c r="B16" s="11" t="s">
        <v>169</v>
      </c>
      <c r="C16" s="11" t="s">
        <v>145</v>
      </c>
      <c r="D16" s="11" t="s">
        <v>170</v>
      </c>
      <c r="E16" s="11"/>
      <c r="F16" s="11" t="s">
        <v>171</v>
      </c>
    </row>
    <row r="17" customFormat="false" ht="15" hidden="false" customHeight="false" outlineLevel="0" collapsed="false">
      <c r="A17" s="14" t="s">
        <v>172</v>
      </c>
      <c r="B17" s="14" t="s">
        <v>169</v>
      </c>
      <c r="C17" s="14" t="s">
        <v>145</v>
      </c>
      <c r="D17" s="14" t="s">
        <v>170</v>
      </c>
      <c r="E17" s="14"/>
      <c r="F17" s="14" t="s">
        <v>173</v>
      </c>
    </row>
    <row r="19" customFormat="false" ht="19.5" hidden="false" customHeight="true" outlineLevel="0" collapsed="false">
      <c r="A19" s="20" t="s">
        <v>174</v>
      </c>
      <c r="B19" s="21"/>
      <c r="C19" s="21"/>
      <c r="D19" s="21"/>
      <c r="E19" s="21"/>
      <c r="F19" s="21"/>
    </row>
    <row r="20" customFormat="false" ht="15" hidden="false" customHeight="false" outlineLevel="0" collapsed="false">
      <c r="A20" s="9" t="s">
        <v>175</v>
      </c>
      <c r="B20" s="9" t="s">
        <v>176</v>
      </c>
      <c r="C20" s="9" t="s">
        <v>177</v>
      </c>
      <c r="D20" s="9" t="s">
        <v>178</v>
      </c>
      <c r="E20" s="9" t="s">
        <v>86</v>
      </c>
      <c r="F20" s="9" t="s">
        <v>179</v>
      </c>
    </row>
    <row r="21" customFormat="false" ht="15" hidden="false" customHeight="false" outlineLevel="0" collapsed="false">
      <c r="A21" s="11" t="s">
        <v>229</v>
      </c>
      <c r="B21" s="11" t="s">
        <v>91</v>
      </c>
      <c r="C21" s="11" t="s">
        <v>14</v>
      </c>
      <c r="D21" s="11" t="s">
        <v>53</v>
      </c>
      <c r="E21" s="11" t="s">
        <v>92</v>
      </c>
      <c r="F21" s="11" t="s">
        <v>182</v>
      </c>
    </row>
    <row r="22" customFormat="false" ht="15" hidden="false" customHeight="false" outlineLevel="0" collapsed="false">
      <c r="A22" s="14" t="s">
        <v>229</v>
      </c>
      <c r="B22" s="14" t="s">
        <v>98</v>
      </c>
      <c r="C22" s="14" t="s">
        <v>90</v>
      </c>
      <c r="D22" s="14" t="s">
        <v>53</v>
      </c>
      <c r="E22" s="14" t="s">
        <v>92</v>
      </c>
      <c r="F22" s="14" t="s">
        <v>230</v>
      </c>
    </row>
    <row r="23" customFormat="false" ht="15" hidden="false" customHeight="false" outlineLevel="0" collapsed="false">
      <c r="A23" s="11" t="s">
        <v>180</v>
      </c>
      <c r="B23" s="11" t="s">
        <v>53</v>
      </c>
      <c r="C23" s="11" t="s">
        <v>100</v>
      </c>
      <c r="D23" s="11" t="s">
        <v>101</v>
      </c>
      <c r="E23" s="11" t="s">
        <v>92</v>
      </c>
      <c r="F23" s="11" t="s">
        <v>264</v>
      </c>
    </row>
    <row r="24" customFormat="false" ht="23.85" hidden="false" customHeight="false" outlineLevel="0" collapsed="false">
      <c r="A24" s="14" t="s">
        <v>180</v>
      </c>
      <c r="B24" s="14" t="s">
        <v>53</v>
      </c>
      <c r="C24" s="14" t="s">
        <v>108</v>
      </c>
      <c r="D24" s="14" t="s">
        <v>101</v>
      </c>
      <c r="E24" s="14" t="s">
        <v>110</v>
      </c>
      <c r="F24" s="14" t="s">
        <v>265</v>
      </c>
    </row>
    <row r="26" customFormat="false" ht="19.5" hidden="false" customHeight="true" outlineLevel="0" collapsed="false">
      <c r="A26" s="20" t="s">
        <v>184</v>
      </c>
      <c r="B26" s="21"/>
      <c r="C26" s="21"/>
      <c r="D26" s="21"/>
      <c r="E26" s="21"/>
      <c r="F26" s="21"/>
    </row>
    <row r="27" customFormat="false" ht="15" hidden="false" customHeight="true" outlineLevel="0" collapsed="false">
      <c r="A27" s="9" t="s">
        <v>185</v>
      </c>
      <c r="B27" s="9" t="s">
        <v>42</v>
      </c>
      <c r="C27" s="9" t="s">
        <v>186</v>
      </c>
      <c r="D27" s="9"/>
      <c r="E27" s="9"/>
      <c r="F27" s="9" t="s">
        <v>43</v>
      </c>
    </row>
    <row r="28" customFormat="false" ht="15" hidden="false" customHeight="true" outlineLevel="0" collapsed="false">
      <c r="A28" s="11" t="s">
        <v>266</v>
      </c>
      <c r="B28" s="11" t="s">
        <v>188</v>
      </c>
      <c r="C28" s="11" t="s">
        <v>189</v>
      </c>
      <c r="D28" s="11"/>
      <c r="E28" s="11"/>
      <c r="F28" s="11" t="s">
        <v>190</v>
      </c>
    </row>
    <row r="29" customFormat="false" ht="15" hidden="false" customHeight="true" outlineLevel="0" collapsed="false">
      <c r="A29" s="14" t="s">
        <v>267</v>
      </c>
      <c r="B29" s="14" t="s">
        <v>192</v>
      </c>
      <c r="C29" s="14" t="s">
        <v>254</v>
      </c>
      <c r="D29" s="14"/>
      <c r="E29" s="14"/>
      <c r="F29" s="14" t="s">
        <v>268</v>
      </c>
    </row>
    <row r="31" customFormat="false" ht="19.5" hidden="false" customHeight="true" outlineLevel="0" collapsed="false">
      <c r="A31" s="20" t="s">
        <v>196</v>
      </c>
      <c r="B31" s="21"/>
      <c r="C31" s="21"/>
      <c r="D31" s="21"/>
      <c r="E31" s="21"/>
      <c r="F31" s="21"/>
    </row>
    <row r="32" customFormat="false" ht="15" hidden="false" customHeight="true" outlineLevel="0" collapsed="false">
      <c r="A32" s="9" t="s">
        <v>197</v>
      </c>
      <c r="B32" s="9" t="s">
        <v>42</v>
      </c>
      <c r="C32" s="9" t="s">
        <v>198</v>
      </c>
      <c r="D32" s="9"/>
      <c r="E32" s="9"/>
      <c r="F32" s="9" t="s">
        <v>43</v>
      </c>
    </row>
    <row r="33" customFormat="false" ht="15" hidden="false" customHeight="false" outlineLevel="0" collapsed="false">
      <c r="A33" s="11" t="s">
        <v>199</v>
      </c>
      <c r="B33" s="11"/>
      <c r="C33" s="11"/>
      <c r="D33" s="11"/>
      <c r="E33" s="11"/>
      <c r="F33" s="11" t="s">
        <v>200</v>
      </c>
    </row>
    <row r="35" customFormat="false" ht="19.5" hidden="false" customHeight="true" outlineLevel="0" collapsed="false">
      <c r="A35" s="20" t="s">
        <v>235</v>
      </c>
      <c r="B35" s="21"/>
      <c r="C35" s="21"/>
      <c r="D35" s="21"/>
      <c r="E35" s="21"/>
      <c r="F35" s="21"/>
      <c r="G35" s="21"/>
      <c r="H35" s="21"/>
      <c r="I35" s="21"/>
      <c r="J35" s="21"/>
    </row>
    <row r="36" customFormat="false" ht="15" hidden="false" customHeight="false" outlineLevel="0" collapsed="false">
      <c r="A36" s="9" t="s">
        <v>53</v>
      </c>
      <c r="B36" s="9" t="s">
        <v>91</v>
      </c>
      <c r="C36" s="9" t="s">
        <v>98</v>
      </c>
      <c r="D36" s="9" t="s">
        <v>154</v>
      </c>
      <c r="E36" s="9" t="s">
        <v>254</v>
      </c>
      <c r="F36" s="9" t="s">
        <v>257</v>
      </c>
      <c r="G36" s="9" t="s">
        <v>260</v>
      </c>
      <c r="H36" s="9" t="s">
        <v>164</v>
      </c>
      <c r="I36" s="9" t="s">
        <v>168</v>
      </c>
      <c r="J36" s="9" t="s">
        <v>172</v>
      </c>
    </row>
    <row r="37" customFormat="false" ht="15" hidden="false" customHeight="false" outlineLevel="0" collapsed="false">
      <c r="A37" s="23" t="n">
        <v>1</v>
      </c>
      <c r="B37" s="23" t="n">
        <v>1</v>
      </c>
      <c r="C37" s="23" t="n">
        <v>1</v>
      </c>
      <c r="D37" s="23" t="s">
        <v>269</v>
      </c>
      <c r="E37" s="23" t="s">
        <v>270</v>
      </c>
      <c r="F37" s="23" t="s">
        <v>271</v>
      </c>
      <c r="G37" s="23" t="s">
        <v>272</v>
      </c>
      <c r="H37" s="24" t="b">
        <f aca="false">TRUE()</f>
        <v>1</v>
      </c>
      <c r="I37" s="25" t="n">
        <v>46032.375</v>
      </c>
      <c r="J37" s="25" t="n">
        <v>46032.375</v>
      </c>
    </row>
    <row r="38" customFormat="false" ht="15" hidden="false" customHeight="false" outlineLevel="0" collapsed="false">
      <c r="A38" s="26" t="n">
        <v>2</v>
      </c>
      <c r="B38" s="26" t="n">
        <v>1</v>
      </c>
      <c r="C38" s="26" t="n">
        <v>2</v>
      </c>
      <c r="D38" s="26" t="s">
        <v>273</v>
      </c>
      <c r="E38" s="26" t="s">
        <v>274</v>
      </c>
      <c r="F38" s="26" t="s">
        <v>275</v>
      </c>
      <c r="G38" s="26" t="s">
        <v>276</v>
      </c>
      <c r="H38" s="27" t="b">
        <f aca="false">TRUE()</f>
        <v>1</v>
      </c>
      <c r="I38" s="28" t="n">
        <v>46032.375</v>
      </c>
      <c r="J38" s="28" t="n">
        <v>46032.375</v>
      </c>
    </row>
    <row r="39" customFormat="false" ht="15" hidden="false" customHeight="false" outlineLevel="0" collapsed="false">
      <c r="A39" s="23" t="n">
        <v>3</v>
      </c>
      <c r="B39" s="23" t="n">
        <v>2</v>
      </c>
      <c r="C39" s="23" t="n">
        <v>3</v>
      </c>
      <c r="D39" s="23" t="s">
        <v>277</v>
      </c>
      <c r="E39" s="23" t="s">
        <v>278</v>
      </c>
      <c r="F39" s="23" t="s">
        <v>279</v>
      </c>
      <c r="G39" s="23" t="s">
        <v>280</v>
      </c>
      <c r="H39" s="24" t="b">
        <f aca="false">TRUE()</f>
        <v>1</v>
      </c>
      <c r="I39" s="25" t="n">
        <v>46032.375</v>
      </c>
      <c r="J39" s="25" t="n">
        <v>46032.375</v>
      </c>
    </row>
    <row r="40" customFormat="false" ht="15" hidden="false" customHeight="false" outlineLevel="0" collapsed="false">
      <c r="A40" s="26" t="n">
        <v>4</v>
      </c>
      <c r="B40" s="26" t="n">
        <v>2</v>
      </c>
      <c r="C40" s="26" t="n">
        <v>4</v>
      </c>
      <c r="D40" s="26" t="s">
        <v>281</v>
      </c>
      <c r="E40" s="26" t="s">
        <v>282</v>
      </c>
      <c r="F40" s="26" t="s">
        <v>283</v>
      </c>
      <c r="G40" s="26" t="s">
        <v>284</v>
      </c>
      <c r="H40" s="27" t="b">
        <f aca="false">TRUE()</f>
        <v>1</v>
      </c>
      <c r="I40" s="28" t="n">
        <v>46032.375</v>
      </c>
      <c r="J40" s="28" t="n">
        <v>46032.375</v>
      </c>
    </row>
    <row r="41" customFormat="false" ht="15" hidden="false" customHeight="false" outlineLevel="0" collapsed="false">
      <c r="A41" s="23" t="n">
        <v>5</v>
      </c>
      <c r="B41" s="23" t="n">
        <v>3</v>
      </c>
      <c r="C41" s="23" t="n">
        <v>5</v>
      </c>
      <c r="D41" s="23" t="s">
        <v>285</v>
      </c>
      <c r="E41" s="23" t="s">
        <v>286</v>
      </c>
      <c r="F41" s="23" t="s">
        <v>287</v>
      </c>
      <c r="G41" s="23" t="s">
        <v>280</v>
      </c>
      <c r="H41" s="24" t="b">
        <f aca="false">TRUE()</f>
        <v>1</v>
      </c>
      <c r="I41" s="25" t="n">
        <v>46032.375</v>
      </c>
      <c r="J41" s="25" t="n">
        <v>46032.375</v>
      </c>
    </row>
    <row r="42" customFormat="false" ht="15" hidden="false" customHeight="false" outlineLevel="0" collapsed="false">
      <c r="A42" s="26" t="n">
        <v>6</v>
      </c>
      <c r="B42" s="26" t="n">
        <v>3</v>
      </c>
      <c r="C42" s="26" t="n">
        <v>6</v>
      </c>
      <c r="D42" s="26" t="s">
        <v>288</v>
      </c>
      <c r="E42" s="26" t="s">
        <v>289</v>
      </c>
      <c r="F42" s="26" t="s">
        <v>290</v>
      </c>
      <c r="G42" s="26" t="s">
        <v>276</v>
      </c>
      <c r="H42" s="27" t="b">
        <f aca="false">TRUE()</f>
        <v>1</v>
      </c>
      <c r="I42" s="28" t="n">
        <v>46032.375</v>
      </c>
      <c r="J42" s="28" t="n">
        <v>46032.375</v>
      </c>
    </row>
  </sheetData>
  <mergeCells count="5">
    <mergeCell ref="C27:E27"/>
    <mergeCell ref="C28:E28"/>
    <mergeCell ref="C29:E29"/>
    <mergeCell ref="C32:E32"/>
    <mergeCell ref="C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60"/>
    <col collapsed="false" customWidth="true" hidden="false" outlineLevel="0" max="8" min="7" style="0" width="22"/>
  </cols>
  <sheetData>
    <row r="1" customFormat="false" ht="19.7" hidden="false" customHeight="false" outlineLevel="0" collapsed="false">
      <c r="A1" s="16" t="s">
        <v>291</v>
      </c>
    </row>
    <row r="2" customFormat="false" ht="15" hidden="false" customHeight="false" outlineLevel="0" collapsed="false">
      <c r="A2" s="17" t="s">
        <v>56</v>
      </c>
    </row>
    <row r="3" customFormat="false" ht="15" hidden="false" customHeight="false" outlineLevel="0" collapsed="false">
      <c r="A3" s="18" t="s">
        <v>136</v>
      </c>
    </row>
    <row r="4" customFormat="false" ht="15" hidden="false" customHeight="false" outlineLevel="0" collapsed="false">
      <c r="A4" s="19" t="str">
        <f aca="false">HYPERLINK("#Tables!A1","&lt;&lt; Back to Tables index")</f>
        <v>&lt;&lt; Back to Tables index</v>
      </c>
    </row>
    <row r="6" customFormat="false" ht="19.5" hidden="false" customHeight="true" outlineLevel="0" collapsed="false">
      <c r="A6" s="20" t="s">
        <v>137</v>
      </c>
      <c r="B6" s="21"/>
      <c r="C6" s="21"/>
      <c r="D6" s="21"/>
      <c r="E6" s="21"/>
      <c r="F6" s="21"/>
    </row>
    <row r="7" customFormat="false" ht="15" hidden="false" customHeight="false" outlineLevel="0" collapsed="false">
      <c r="A7" s="9" t="s">
        <v>138</v>
      </c>
      <c r="B7" s="9" t="s">
        <v>139</v>
      </c>
      <c r="C7" s="9" t="s">
        <v>140</v>
      </c>
      <c r="D7" s="9" t="s">
        <v>141</v>
      </c>
      <c r="E7" s="9" t="s">
        <v>142</v>
      </c>
      <c r="F7" s="9" t="s">
        <v>143</v>
      </c>
    </row>
    <row r="8" customFormat="false" ht="15" hidden="false" customHeight="false" outlineLevel="0" collapsed="false">
      <c r="A8" s="11" t="s">
        <v>53</v>
      </c>
      <c r="B8" s="11" t="s">
        <v>144</v>
      </c>
      <c r="C8" s="11" t="s">
        <v>145</v>
      </c>
      <c r="D8" s="11" t="s">
        <v>146</v>
      </c>
      <c r="E8" s="22" t="s">
        <v>147</v>
      </c>
      <c r="F8" s="11" t="s">
        <v>292</v>
      </c>
    </row>
    <row r="9" customFormat="false" ht="15" hidden="false" customHeight="false" outlineLevel="0" collapsed="false">
      <c r="A9" s="14" t="s">
        <v>101</v>
      </c>
      <c r="B9" s="14" t="s">
        <v>216</v>
      </c>
      <c r="C9" s="14" t="s">
        <v>145</v>
      </c>
      <c r="D9" s="14"/>
      <c r="E9" s="29" t="s">
        <v>293</v>
      </c>
      <c r="F9" s="14" t="s">
        <v>294</v>
      </c>
    </row>
    <row r="10" customFormat="false" ht="15" hidden="false" customHeight="false" outlineLevel="0" collapsed="false">
      <c r="A10" s="11" t="s">
        <v>154</v>
      </c>
      <c r="B10" s="11" t="s">
        <v>158</v>
      </c>
      <c r="C10" s="11" t="s">
        <v>145</v>
      </c>
      <c r="D10" s="11"/>
      <c r="E10" s="11" t="s">
        <v>295</v>
      </c>
      <c r="F10" s="11" t="s">
        <v>296</v>
      </c>
    </row>
    <row r="11" customFormat="false" ht="15" hidden="false" customHeight="false" outlineLevel="0" collapsed="false">
      <c r="A11" s="14" t="s">
        <v>297</v>
      </c>
      <c r="B11" s="14" t="s">
        <v>255</v>
      </c>
      <c r="C11" s="14" t="s">
        <v>145</v>
      </c>
      <c r="D11" s="14" t="s">
        <v>298</v>
      </c>
      <c r="E11" s="14"/>
      <c r="F11" s="14" t="s">
        <v>299</v>
      </c>
    </row>
    <row r="12" customFormat="false" ht="15" hidden="false" customHeight="false" outlineLevel="0" collapsed="false">
      <c r="A12" s="11" t="s">
        <v>300</v>
      </c>
      <c r="B12" s="11" t="s">
        <v>258</v>
      </c>
      <c r="C12" s="11" t="s">
        <v>222</v>
      </c>
      <c r="D12" s="11"/>
      <c r="E12" s="11"/>
      <c r="F12" s="11" t="s">
        <v>301</v>
      </c>
    </row>
    <row r="13" customFormat="false" ht="15" hidden="false" customHeight="false" outlineLevel="0" collapsed="false">
      <c r="A13" s="14" t="s">
        <v>164</v>
      </c>
      <c r="B13" s="14" t="s">
        <v>165</v>
      </c>
      <c r="C13" s="14" t="s">
        <v>145</v>
      </c>
      <c r="D13" s="14" t="s">
        <v>166</v>
      </c>
      <c r="E13" s="14"/>
      <c r="F13" s="14" t="s">
        <v>263</v>
      </c>
    </row>
    <row r="14" customFormat="false" ht="15" hidden="false" customHeight="false" outlineLevel="0" collapsed="false">
      <c r="A14" s="11" t="s">
        <v>168</v>
      </c>
      <c r="B14" s="11" t="s">
        <v>169</v>
      </c>
      <c r="C14" s="11" t="s">
        <v>145</v>
      </c>
      <c r="D14" s="11" t="s">
        <v>170</v>
      </c>
      <c r="E14" s="11"/>
      <c r="F14" s="11" t="s">
        <v>171</v>
      </c>
    </row>
    <row r="15" customFormat="false" ht="15" hidden="false" customHeight="false" outlineLevel="0" collapsed="false">
      <c r="A15" s="14" t="s">
        <v>172</v>
      </c>
      <c r="B15" s="14" t="s">
        <v>169</v>
      </c>
      <c r="C15" s="14" t="s">
        <v>145</v>
      </c>
      <c r="D15" s="14" t="s">
        <v>170</v>
      </c>
      <c r="E15" s="14"/>
      <c r="F15" s="14" t="s">
        <v>173</v>
      </c>
    </row>
    <row r="17" customFormat="false" ht="19.5" hidden="false" customHeight="true" outlineLevel="0" collapsed="false">
      <c r="A17" s="20" t="s">
        <v>174</v>
      </c>
      <c r="B17" s="21"/>
      <c r="C17" s="21"/>
      <c r="D17" s="21"/>
      <c r="E17" s="21"/>
      <c r="F17" s="21"/>
    </row>
    <row r="18" customFormat="false" ht="15" hidden="false" customHeight="false" outlineLevel="0" collapsed="false">
      <c r="A18" s="9" t="s">
        <v>175</v>
      </c>
      <c r="B18" s="9" t="s">
        <v>176</v>
      </c>
      <c r="C18" s="9" t="s">
        <v>177</v>
      </c>
      <c r="D18" s="9" t="s">
        <v>178</v>
      </c>
      <c r="E18" s="9" t="s">
        <v>86</v>
      </c>
      <c r="F18" s="9" t="s">
        <v>179</v>
      </c>
    </row>
    <row r="19" customFormat="false" ht="15" hidden="false" customHeight="false" outlineLevel="0" collapsed="false">
      <c r="A19" s="11" t="s">
        <v>229</v>
      </c>
      <c r="B19" s="11" t="s">
        <v>101</v>
      </c>
      <c r="C19" s="11" t="s">
        <v>96</v>
      </c>
      <c r="D19" s="11" t="s">
        <v>53</v>
      </c>
      <c r="E19" s="11" t="s">
        <v>92</v>
      </c>
      <c r="F19" s="11" t="s">
        <v>264</v>
      </c>
    </row>
    <row r="20" customFormat="false" ht="15" hidden="false" customHeight="false" outlineLevel="0" collapsed="false">
      <c r="A20" s="14" t="s">
        <v>180</v>
      </c>
      <c r="B20" s="14" t="s">
        <v>53</v>
      </c>
      <c r="C20" s="14" t="s">
        <v>103</v>
      </c>
      <c r="D20" s="14" t="s">
        <v>104</v>
      </c>
      <c r="E20" s="14" t="s">
        <v>92</v>
      </c>
      <c r="F20" s="14" t="s">
        <v>302</v>
      </c>
    </row>
    <row r="21" customFormat="false" ht="15" hidden="false" customHeight="false" outlineLevel="0" collapsed="false">
      <c r="A21" s="11" t="s">
        <v>180</v>
      </c>
      <c r="B21" s="11" t="s">
        <v>53</v>
      </c>
      <c r="C21" s="11" t="s">
        <v>106</v>
      </c>
      <c r="D21" s="11" t="s">
        <v>104</v>
      </c>
      <c r="E21" s="11" t="s">
        <v>92</v>
      </c>
      <c r="F21" s="11" t="s">
        <v>303</v>
      </c>
    </row>
    <row r="22" customFormat="false" ht="15" hidden="false" customHeight="false" outlineLevel="0" collapsed="false">
      <c r="A22" s="14" t="s">
        <v>180</v>
      </c>
      <c r="B22" s="14" t="s">
        <v>53</v>
      </c>
      <c r="C22" s="14" t="s">
        <v>113</v>
      </c>
      <c r="D22" s="14" t="s">
        <v>104</v>
      </c>
      <c r="E22" s="14" t="s">
        <v>92</v>
      </c>
      <c r="F22" s="14" t="s">
        <v>304</v>
      </c>
    </row>
    <row r="24" customFormat="false" ht="19.5" hidden="false" customHeight="true" outlineLevel="0" collapsed="false">
      <c r="A24" s="20" t="s">
        <v>184</v>
      </c>
      <c r="B24" s="21"/>
      <c r="C24" s="21"/>
      <c r="D24" s="21"/>
      <c r="E24" s="21"/>
      <c r="F24" s="21"/>
    </row>
    <row r="25" customFormat="false" ht="15" hidden="false" customHeight="true" outlineLevel="0" collapsed="false">
      <c r="A25" s="9" t="s">
        <v>185</v>
      </c>
      <c r="B25" s="9" t="s">
        <v>42</v>
      </c>
      <c r="C25" s="9" t="s">
        <v>186</v>
      </c>
      <c r="D25" s="9"/>
      <c r="E25" s="9"/>
      <c r="F25" s="9" t="s">
        <v>43</v>
      </c>
    </row>
    <row r="26" customFormat="false" ht="15" hidden="false" customHeight="true" outlineLevel="0" collapsed="false">
      <c r="A26" s="11" t="s">
        <v>305</v>
      </c>
      <c r="B26" s="11" t="s">
        <v>188</v>
      </c>
      <c r="C26" s="11" t="s">
        <v>189</v>
      </c>
      <c r="D26" s="11"/>
      <c r="E26" s="11"/>
      <c r="F26" s="11" t="s">
        <v>190</v>
      </c>
    </row>
    <row r="27" customFormat="false" ht="15" hidden="false" customHeight="true" outlineLevel="0" collapsed="false">
      <c r="A27" s="14" t="s">
        <v>306</v>
      </c>
      <c r="B27" s="14" t="s">
        <v>192</v>
      </c>
      <c r="C27" s="14" t="s">
        <v>307</v>
      </c>
      <c r="D27" s="14"/>
      <c r="E27" s="14"/>
      <c r="F27" s="14" t="s">
        <v>308</v>
      </c>
    </row>
    <row r="29" customFormat="false" ht="19.5" hidden="false" customHeight="true" outlineLevel="0" collapsed="false">
      <c r="A29" s="20" t="s">
        <v>196</v>
      </c>
      <c r="B29" s="21"/>
      <c r="C29" s="21"/>
      <c r="D29" s="21"/>
      <c r="E29" s="21"/>
      <c r="F29" s="21"/>
    </row>
    <row r="30" customFormat="false" ht="15" hidden="false" customHeight="true" outlineLevel="0" collapsed="false">
      <c r="A30" s="9" t="s">
        <v>197</v>
      </c>
      <c r="B30" s="9" t="s">
        <v>42</v>
      </c>
      <c r="C30" s="9" t="s">
        <v>198</v>
      </c>
      <c r="D30" s="9"/>
      <c r="E30" s="9"/>
      <c r="F30" s="9" t="s">
        <v>43</v>
      </c>
    </row>
    <row r="31" customFormat="false" ht="15" hidden="false" customHeight="false" outlineLevel="0" collapsed="false">
      <c r="A31" s="11" t="s">
        <v>199</v>
      </c>
      <c r="B31" s="11"/>
      <c r="C31" s="11"/>
      <c r="D31" s="11"/>
      <c r="E31" s="11"/>
      <c r="F31" s="11" t="s">
        <v>200</v>
      </c>
    </row>
    <row r="33" customFormat="false" ht="19.5" hidden="false" customHeight="true" outlineLevel="0" collapsed="false">
      <c r="A33" s="20" t="s">
        <v>309</v>
      </c>
      <c r="B33" s="21"/>
      <c r="C33" s="21"/>
      <c r="D33" s="21"/>
      <c r="E33" s="21"/>
      <c r="F33" s="21"/>
      <c r="G33" s="21"/>
      <c r="H33" s="21"/>
    </row>
    <row r="34" customFormat="false" ht="15" hidden="false" customHeight="false" outlineLevel="0" collapsed="false">
      <c r="A34" s="9" t="s">
        <v>53</v>
      </c>
      <c r="B34" s="9" t="s">
        <v>101</v>
      </c>
      <c r="C34" s="9" t="s">
        <v>154</v>
      </c>
      <c r="D34" s="9" t="s">
        <v>297</v>
      </c>
      <c r="E34" s="9" t="s">
        <v>300</v>
      </c>
      <c r="F34" s="9" t="s">
        <v>164</v>
      </c>
      <c r="G34" s="9" t="s">
        <v>168</v>
      </c>
      <c r="H34" s="9" t="s">
        <v>172</v>
      </c>
    </row>
    <row r="35" customFormat="false" ht="15" hidden="false" customHeight="false" outlineLevel="0" collapsed="false">
      <c r="A35" s="23" t="n">
        <v>1</v>
      </c>
      <c r="B35" s="23" t="n">
        <v>1</v>
      </c>
      <c r="C35" s="23" t="s">
        <v>310</v>
      </c>
      <c r="D35" s="23" t="s">
        <v>311</v>
      </c>
      <c r="E35" s="23" t="s">
        <v>312</v>
      </c>
      <c r="F35" s="24" t="b">
        <f aca="false">TRUE()</f>
        <v>1</v>
      </c>
      <c r="G35" s="25" t="n">
        <v>46032.375</v>
      </c>
      <c r="H35" s="25" t="n">
        <v>46032.375</v>
      </c>
    </row>
    <row r="36" customFormat="false" ht="15" hidden="false" customHeight="false" outlineLevel="0" collapsed="false">
      <c r="A36" s="26" t="n">
        <v>2</v>
      </c>
      <c r="B36" s="26" t="n">
        <v>1</v>
      </c>
      <c r="C36" s="26" t="s">
        <v>313</v>
      </c>
      <c r="D36" s="26" t="s">
        <v>314</v>
      </c>
      <c r="E36" s="26" t="s">
        <v>315</v>
      </c>
      <c r="F36" s="27" t="b">
        <f aca="false">TRUE()</f>
        <v>1</v>
      </c>
      <c r="G36" s="28" t="n">
        <v>46032.375</v>
      </c>
      <c r="H36" s="28" t="n">
        <v>46032.375</v>
      </c>
    </row>
    <row r="37" customFormat="false" ht="15" hidden="false" customHeight="false" outlineLevel="0" collapsed="false">
      <c r="A37" s="23" t="n">
        <v>3</v>
      </c>
      <c r="B37" s="23" t="n">
        <v>2</v>
      </c>
      <c r="C37" s="23" t="s">
        <v>316</v>
      </c>
      <c r="D37" s="23" t="s">
        <v>317</v>
      </c>
      <c r="E37" s="23" t="s">
        <v>318</v>
      </c>
      <c r="F37" s="24" t="b">
        <f aca="false">TRUE()</f>
        <v>1</v>
      </c>
      <c r="G37" s="25" t="n">
        <v>46032.375</v>
      </c>
      <c r="H37" s="25" t="n">
        <v>46032.375</v>
      </c>
    </row>
    <row r="38" customFormat="false" ht="15" hidden="false" customHeight="false" outlineLevel="0" collapsed="false">
      <c r="A38" s="26" t="n">
        <v>4</v>
      </c>
      <c r="B38" s="26" t="n">
        <v>2</v>
      </c>
      <c r="C38" s="26" t="s">
        <v>319</v>
      </c>
      <c r="D38" s="26" t="s">
        <v>314</v>
      </c>
      <c r="E38" s="26" t="s">
        <v>320</v>
      </c>
      <c r="F38" s="27" t="b">
        <f aca="false">TRUE()</f>
        <v>1</v>
      </c>
      <c r="G38" s="28" t="n">
        <v>46032.375</v>
      </c>
      <c r="H38" s="28" t="n">
        <v>46032.375</v>
      </c>
    </row>
    <row r="39" customFormat="false" ht="15" hidden="false" customHeight="false" outlineLevel="0" collapsed="false">
      <c r="A39" s="23" t="n">
        <v>5</v>
      </c>
      <c r="B39" s="23" t="n">
        <v>3</v>
      </c>
      <c r="C39" s="23" t="s">
        <v>321</v>
      </c>
      <c r="D39" s="23" t="s">
        <v>322</v>
      </c>
      <c r="E39" s="23" t="s">
        <v>323</v>
      </c>
      <c r="F39" s="24" t="b">
        <f aca="false">TRUE()</f>
        <v>1</v>
      </c>
      <c r="G39" s="25" t="n">
        <v>46032.375</v>
      </c>
      <c r="H39" s="25" t="n">
        <v>46032.375</v>
      </c>
    </row>
    <row r="40" customFormat="false" ht="15" hidden="false" customHeight="false" outlineLevel="0" collapsed="false">
      <c r="A40" s="26" t="n">
        <v>6</v>
      </c>
      <c r="B40" s="26" t="n">
        <v>3</v>
      </c>
      <c r="C40" s="26" t="s">
        <v>324</v>
      </c>
      <c r="D40" s="26" t="s">
        <v>322</v>
      </c>
      <c r="E40" s="26" t="s">
        <v>325</v>
      </c>
      <c r="F40" s="27" t="b">
        <f aca="false">TRUE()</f>
        <v>1</v>
      </c>
      <c r="G40" s="28" t="n">
        <v>46032.375</v>
      </c>
      <c r="H40" s="28" t="n">
        <v>46032.375</v>
      </c>
    </row>
    <row r="41" customFormat="false" ht="15" hidden="false" customHeight="false" outlineLevel="0" collapsed="false">
      <c r="A41" s="23" t="n">
        <v>7</v>
      </c>
      <c r="B41" s="23" t="n">
        <v>4</v>
      </c>
      <c r="C41" s="23" t="s">
        <v>326</v>
      </c>
      <c r="D41" s="23" t="s">
        <v>314</v>
      </c>
      <c r="E41" s="23" t="s">
        <v>327</v>
      </c>
      <c r="F41" s="24" t="b">
        <f aca="false">TRUE()</f>
        <v>1</v>
      </c>
      <c r="G41" s="25" t="n">
        <v>46032.375</v>
      </c>
      <c r="H41" s="25" t="n">
        <v>46032.375</v>
      </c>
    </row>
    <row r="42" customFormat="false" ht="15" hidden="false" customHeight="false" outlineLevel="0" collapsed="false">
      <c r="A42" s="26" t="n">
        <v>8</v>
      </c>
      <c r="B42" s="26" t="n">
        <v>5</v>
      </c>
      <c r="C42" s="26" t="s">
        <v>328</v>
      </c>
      <c r="D42" s="26" t="s">
        <v>322</v>
      </c>
      <c r="E42" s="26" t="s">
        <v>329</v>
      </c>
      <c r="F42" s="27" t="b">
        <f aca="false">TRUE()</f>
        <v>1</v>
      </c>
      <c r="G42" s="28" t="n">
        <v>46032.375</v>
      </c>
      <c r="H42" s="28" t="n">
        <v>46032.375</v>
      </c>
    </row>
    <row r="43" customFormat="false" ht="15" hidden="false" customHeight="false" outlineLevel="0" collapsed="false">
      <c r="A43" s="23" t="n">
        <v>9</v>
      </c>
      <c r="B43" s="23" t="n">
        <v>5</v>
      </c>
      <c r="C43" s="23" t="s">
        <v>330</v>
      </c>
      <c r="D43" s="23" t="s">
        <v>331</v>
      </c>
      <c r="E43" s="23" t="s">
        <v>332</v>
      </c>
      <c r="F43" s="24" t="b">
        <f aca="false">TRUE()</f>
        <v>1</v>
      </c>
      <c r="G43" s="25" t="n">
        <v>46032.375</v>
      </c>
      <c r="H43" s="25" t="n">
        <v>46032.375</v>
      </c>
    </row>
    <row r="44" customFormat="false" ht="15" hidden="false" customHeight="false" outlineLevel="0" collapsed="false">
      <c r="A44" s="26" t="n">
        <v>10</v>
      </c>
      <c r="B44" s="26" t="n">
        <v>6</v>
      </c>
      <c r="C44" s="26" t="s">
        <v>333</v>
      </c>
      <c r="D44" s="26" t="s">
        <v>322</v>
      </c>
      <c r="E44" s="26" t="s">
        <v>334</v>
      </c>
      <c r="F44" s="27" t="b">
        <f aca="false">TRUE()</f>
        <v>1</v>
      </c>
      <c r="G44" s="28" t="n">
        <v>46032.375</v>
      </c>
      <c r="H44" s="28" t="n">
        <v>46032.375</v>
      </c>
    </row>
  </sheetData>
  <mergeCells count="5">
    <mergeCell ref="C25:E25"/>
    <mergeCell ref="C26:E26"/>
    <mergeCell ref="C27:E27"/>
    <mergeCell ref="C30:E30"/>
    <mergeCell ref="C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3"/>
    <col collapsed="false" customWidth="true" hidden="false" outlineLevel="0" max="5" min="5" style="0" width="28"/>
    <col collapsed="false" customWidth="true" hidden="false" outlineLevel="0" max="6" min="6" style="0" width="60"/>
    <col collapsed="false" customWidth="true" hidden="false" outlineLevel="0" max="8" min="7" style="0" width="14"/>
    <col collapsed="false" customWidth="true" hidden="false" outlineLevel="0" max="11" min="9" style="0" width="22"/>
  </cols>
  <sheetData>
    <row r="1" customFormat="false" ht="19.7" hidden="false" customHeight="false" outlineLevel="0" collapsed="false">
      <c r="A1" s="16" t="s">
        <v>335</v>
      </c>
    </row>
    <row r="2" customFormat="false" ht="15" hidden="false" customHeight="false" outlineLevel="0" collapsed="false">
      <c r="A2" s="17" t="s">
        <v>58</v>
      </c>
    </row>
    <row r="3" customFormat="false" ht="15" hidden="false" customHeight="false" outlineLevel="0" collapsed="false">
      <c r="A3" s="18" t="s">
        <v>336</v>
      </c>
    </row>
    <row r="4" customFormat="false" ht="15" hidden="false" customHeight="false" outlineLevel="0" collapsed="false">
      <c r="A4" s="19" t="str">
        <f aca="false">HYPERLINK("#Tables!A1","&lt;&lt; Back to Tables index")</f>
        <v>&lt;&lt; Back to Tables index</v>
      </c>
    </row>
    <row r="6" customFormat="false" ht="19.5" hidden="false" customHeight="true" outlineLevel="0" collapsed="false">
      <c r="A6" s="20" t="s">
        <v>137</v>
      </c>
      <c r="B6" s="21"/>
      <c r="C6" s="21"/>
      <c r="D6" s="21"/>
      <c r="E6" s="21"/>
      <c r="F6" s="21"/>
    </row>
    <row r="7" customFormat="false" ht="15" hidden="false" customHeight="false" outlineLevel="0" collapsed="false">
      <c r="A7" s="9" t="s">
        <v>138</v>
      </c>
      <c r="B7" s="9" t="s">
        <v>139</v>
      </c>
      <c r="C7" s="9" t="s">
        <v>140</v>
      </c>
      <c r="D7" s="9" t="s">
        <v>141</v>
      </c>
      <c r="E7" s="9" t="s">
        <v>142</v>
      </c>
      <c r="F7" s="9" t="s">
        <v>143</v>
      </c>
    </row>
    <row r="8" customFormat="false" ht="15" hidden="false" customHeight="false" outlineLevel="0" collapsed="false">
      <c r="A8" s="11" t="s">
        <v>53</v>
      </c>
      <c r="B8" s="11" t="s">
        <v>144</v>
      </c>
      <c r="C8" s="11" t="s">
        <v>145</v>
      </c>
      <c r="D8" s="11" t="s">
        <v>146</v>
      </c>
      <c r="E8" s="22" t="s">
        <v>147</v>
      </c>
      <c r="F8" s="11" t="s">
        <v>337</v>
      </c>
    </row>
    <row r="9" customFormat="false" ht="15" hidden="false" customHeight="false" outlineLevel="0" collapsed="false">
      <c r="A9" s="14" t="s">
        <v>104</v>
      </c>
      <c r="B9" s="14" t="s">
        <v>216</v>
      </c>
      <c r="C9" s="14" t="s">
        <v>145</v>
      </c>
      <c r="D9" s="14"/>
      <c r="E9" s="29" t="s">
        <v>338</v>
      </c>
      <c r="F9" s="14" t="s">
        <v>339</v>
      </c>
    </row>
    <row r="10" customFormat="false" ht="15" hidden="false" customHeight="false" outlineLevel="0" collapsed="false">
      <c r="A10" s="11" t="s">
        <v>340</v>
      </c>
      <c r="B10" s="11" t="s">
        <v>255</v>
      </c>
      <c r="C10" s="11" t="s">
        <v>145</v>
      </c>
      <c r="D10" s="11"/>
      <c r="E10" s="11" t="s">
        <v>152</v>
      </c>
      <c r="F10" s="11" t="s">
        <v>341</v>
      </c>
    </row>
    <row r="11" customFormat="false" ht="15" hidden="false" customHeight="false" outlineLevel="0" collapsed="false">
      <c r="A11" s="14" t="s">
        <v>154</v>
      </c>
      <c r="B11" s="14" t="s">
        <v>158</v>
      </c>
      <c r="C11" s="14" t="s">
        <v>145</v>
      </c>
      <c r="D11" s="14"/>
      <c r="E11" s="14"/>
      <c r="F11" s="14" t="s">
        <v>342</v>
      </c>
    </row>
    <row r="12" customFormat="false" ht="15" hidden="false" customHeight="false" outlineLevel="0" collapsed="false">
      <c r="A12" s="11" t="s">
        <v>343</v>
      </c>
      <c r="B12" s="11" t="s">
        <v>344</v>
      </c>
      <c r="C12" s="11" t="s">
        <v>222</v>
      </c>
      <c r="D12" s="11"/>
      <c r="E12" s="11"/>
      <c r="F12" s="11" t="s">
        <v>345</v>
      </c>
    </row>
    <row r="13" customFormat="false" ht="15" hidden="false" customHeight="false" outlineLevel="0" collapsed="false">
      <c r="A13" s="14" t="s">
        <v>346</v>
      </c>
      <c r="B13" s="14" t="s">
        <v>347</v>
      </c>
      <c r="C13" s="14" t="s">
        <v>222</v>
      </c>
      <c r="D13" s="14"/>
      <c r="E13" s="14"/>
      <c r="F13" s="14" t="s">
        <v>348</v>
      </c>
    </row>
    <row r="14" customFormat="false" ht="15" hidden="false" customHeight="false" outlineLevel="0" collapsed="false">
      <c r="A14" s="11" t="s">
        <v>349</v>
      </c>
      <c r="B14" s="11" t="s">
        <v>350</v>
      </c>
      <c r="C14" s="11" t="s">
        <v>222</v>
      </c>
      <c r="D14" s="11" t="s">
        <v>351</v>
      </c>
      <c r="E14" s="11"/>
      <c r="F14" s="11" t="s">
        <v>352</v>
      </c>
    </row>
    <row r="15" customFormat="false" ht="15" hidden="false" customHeight="false" outlineLevel="0" collapsed="false">
      <c r="A15" s="14" t="s">
        <v>353</v>
      </c>
      <c r="B15" s="14" t="s">
        <v>350</v>
      </c>
      <c r="C15" s="14" t="s">
        <v>145</v>
      </c>
      <c r="D15" s="14" t="s">
        <v>354</v>
      </c>
      <c r="E15" s="14" t="s">
        <v>355</v>
      </c>
      <c r="F15" s="14" t="s">
        <v>356</v>
      </c>
    </row>
    <row r="16" customFormat="false" ht="15" hidden="false" customHeight="false" outlineLevel="0" collapsed="false">
      <c r="A16" s="11" t="s">
        <v>357</v>
      </c>
      <c r="B16" s="11" t="s">
        <v>169</v>
      </c>
      <c r="C16" s="11" t="s">
        <v>222</v>
      </c>
      <c r="D16" s="11"/>
      <c r="E16" s="11"/>
      <c r="F16" s="11" t="s">
        <v>358</v>
      </c>
    </row>
    <row r="17" customFormat="false" ht="15" hidden="false" customHeight="false" outlineLevel="0" collapsed="false">
      <c r="A17" s="14" t="s">
        <v>168</v>
      </c>
      <c r="B17" s="14" t="s">
        <v>169</v>
      </c>
      <c r="C17" s="14" t="s">
        <v>145</v>
      </c>
      <c r="D17" s="14" t="s">
        <v>170</v>
      </c>
      <c r="E17" s="14"/>
      <c r="F17" s="14" t="s">
        <v>171</v>
      </c>
    </row>
    <row r="18" customFormat="false" ht="15" hidden="false" customHeight="false" outlineLevel="0" collapsed="false">
      <c r="A18" s="11" t="s">
        <v>172</v>
      </c>
      <c r="B18" s="11" t="s">
        <v>169</v>
      </c>
      <c r="C18" s="11" t="s">
        <v>145</v>
      </c>
      <c r="D18" s="11" t="s">
        <v>170</v>
      </c>
      <c r="E18" s="11"/>
      <c r="F18" s="11" t="s">
        <v>228</v>
      </c>
    </row>
    <row r="20" customFormat="false" ht="19.5" hidden="false" customHeight="true" outlineLevel="0" collapsed="false">
      <c r="A20" s="20" t="s">
        <v>174</v>
      </c>
      <c r="B20" s="21"/>
      <c r="C20" s="21"/>
      <c r="D20" s="21"/>
      <c r="E20" s="21"/>
      <c r="F20" s="21"/>
    </row>
    <row r="21" customFormat="false" ht="15" hidden="false" customHeight="false" outlineLevel="0" collapsed="false">
      <c r="A21" s="9" t="s">
        <v>175</v>
      </c>
      <c r="B21" s="9" t="s">
        <v>176</v>
      </c>
      <c r="C21" s="9" t="s">
        <v>177</v>
      </c>
      <c r="D21" s="9" t="s">
        <v>178</v>
      </c>
      <c r="E21" s="9" t="s">
        <v>86</v>
      </c>
      <c r="F21" s="9" t="s">
        <v>179</v>
      </c>
    </row>
    <row r="22" customFormat="false" ht="15" hidden="false" customHeight="false" outlineLevel="0" collapsed="false">
      <c r="A22" s="11" t="s">
        <v>229</v>
      </c>
      <c r="B22" s="11" t="s">
        <v>104</v>
      </c>
      <c r="C22" s="11" t="s">
        <v>100</v>
      </c>
      <c r="D22" s="11" t="s">
        <v>53</v>
      </c>
      <c r="E22" s="11" t="s">
        <v>92</v>
      </c>
      <c r="F22" s="11" t="s">
        <v>302</v>
      </c>
    </row>
    <row r="23" customFormat="false" ht="23.85" hidden="false" customHeight="false" outlineLevel="0" collapsed="false">
      <c r="A23" s="14" t="s">
        <v>180</v>
      </c>
      <c r="B23" s="14" t="s">
        <v>53</v>
      </c>
      <c r="C23" s="14" t="s">
        <v>113</v>
      </c>
      <c r="D23" s="14" t="s">
        <v>117</v>
      </c>
      <c r="E23" s="14" t="s">
        <v>110</v>
      </c>
      <c r="F23" s="14" t="s">
        <v>359</v>
      </c>
    </row>
    <row r="25" customFormat="false" ht="19.5" hidden="false" customHeight="true" outlineLevel="0" collapsed="false">
      <c r="A25" s="20" t="s">
        <v>184</v>
      </c>
      <c r="B25" s="21"/>
      <c r="C25" s="21"/>
      <c r="D25" s="21"/>
      <c r="E25" s="21"/>
      <c r="F25" s="21"/>
    </row>
    <row r="26" customFormat="false" ht="15" hidden="false" customHeight="true" outlineLevel="0" collapsed="false">
      <c r="A26" s="9" t="s">
        <v>185</v>
      </c>
      <c r="B26" s="9" t="s">
        <v>42</v>
      </c>
      <c r="C26" s="9" t="s">
        <v>186</v>
      </c>
      <c r="D26" s="9"/>
      <c r="E26" s="9"/>
      <c r="F26" s="9" t="s">
        <v>43</v>
      </c>
    </row>
    <row r="27" customFormat="false" ht="15" hidden="false" customHeight="true" outlineLevel="0" collapsed="false">
      <c r="A27" s="11" t="s">
        <v>360</v>
      </c>
      <c r="B27" s="11" t="s">
        <v>188</v>
      </c>
      <c r="C27" s="11" t="s">
        <v>189</v>
      </c>
      <c r="D27" s="11"/>
      <c r="E27" s="11"/>
      <c r="F27" s="11" t="s">
        <v>190</v>
      </c>
    </row>
    <row r="28" customFormat="false" ht="15" hidden="false" customHeight="true" outlineLevel="0" collapsed="false">
      <c r="A28" s="14" t="s">
        <v>361</v>
      </c>
      <c r="B28" s="14" t="s">
        <v>192</v>
      </c>
      <c r="C28" s="14" t="s">
        <v>340</v>
      </c>
      <c r="D28" s="14"/>
      <c r="E28" s="14"/>
      <c r="F28" s="14" t="s">
        <v>362</v>
      </c>
    </row>
    <row r="29" customFormat="false" ht="15" hidden="false" customHeight="true" outlineLevel="0" collapsed="false">
      <c r="A29" s="11" t="s">
        <v>363</v>
      </c>
      <c r="B29" s="11" t="s">
        <v>355</v>
      </c>
      <c r="C29" s="11" t="s">
        <v>364</v>
      </c>
      <c r="D29" s="11"/>
      <c r="E29" s="11"/>
      <c r="F29" s="11" t="s">
        <v>365</v>
      </c>
    </row>
    <row r="31" customFormat="false" ht="19.5" hidden="false" customHeight="true" outlineLevel="0" collapsed="false">
      <c r="A31" s="20" t="s">
        <v>196</v>
      </c>
      <c r="B31" s="21"/>
      <c r="C31" s="21"/>
      <c r="D31" s="21"/>
      <c r="E31" s="21"/>
      <c r="F31" s="21"/>
    </row>
    <row r="32" customFormat="false" ht="15" hidden="false" customHeight="true" outlineLevel="0" collapsed="false">
      <c r="A32" s="9" t="s">
        <v>197</v>
      </c>
      <c r="B32" s="9" t="s">
        <v>42</v>
      </c>
      <c r="C32" s="9" t="s">
        <v>198</v>
      </c>
      <c r="D32" s="9"/>
      <c r="E32" s="9"/>
      <c r="F32" s="9" t="s">
        <v>43</v>
      </c>
    </row>
    <row r="33" customFormat="false" ht="15" hidden="false" customHeight="true" outlineLevel="0" collapsed="false">
      <c r="A33" s="11" t="s">
        <v>366</v>
      </c>
      <c r="B33" s="11" t="s">
        <v>367</v>
      </c>
      <c r="C33" s="11" t="s">
        <v>368</v>
      </c>
      <c r="D33" s="11"/>
      <c r="E33" s="11"/>
      <c r="F33" s="11" t="s">
        <v>369</v>
      </c>
    </row>
    <row r="35" customFormat="false" ht="19.5" hidden="false" customHeight="true" outlineLevel="0" collapsed="false">
      <c r="A35" s="20" t="s">
        <v>309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customFormat="false" ht="15" hidden="false" customHeight="false" outlineLevel="0" collapsed="false">
      <c r="A36" s="9" t="s">
        <v>53</v>
      </c>
      <c r="B36" s="9" t="s">
        <v>104</v>
      </c>
      <c r="C36" s="9" t="s">
        <v>340</v>
      </c>
      <c r="D36" s="9" t="s">
        <v>154</v>
      </c>
      <c r="E36" s="9" t="s">
        <v>343</v>
      </c>
      <c r="F36" s="9" t="s">
        <v>346</v>
      </c>
      <c r="G36" s="9" t="s">
        <v>349</v>
      </c>
      <c r="H36" s="9" t="s">
        <v>353</v>
      </c>
      <c r="I36" s="9" t="s">
        <v>357</v>
      </c>
      <c r="J36" s="9" t="s">
        <v>168</v>
      </c>
      <c r="K36" s="9" t="s">
        <v>172</v>
      </c>
    </row>
    <row r="37" customFormat="false" ht="15" hidden="false" customHeight="false" outlineLevel="0" collapsed="false">
      <c r="A37" s="23" t="n">
        <v>1</v>
      </c>
      <c r="B37" s="23" t="n">
        <v>1</v>
      </c>
      <c r="C37" s="23" t="s">
        <v>370</v>
      </c>
      <c r="D37" s="23" t="s">
        <v>371</v>
      </c>
      <c r="E37" s="23" t="s">
        <v>372</v>
      </c>
      <c r="F37" s="23" t="s">
        <v>373</v>
      </c>
      <c r="G37" s="23" t="s">
        <v>374</v>
      </c>
      <c r="H37" s="23" t="s">
        <v>375</v>
      </c>
      <c r="I37" s="25" t="n">
        <v>46309.3333449074</v>
      </c>
      <c r="J37" s="25" t="n">
        <v>46032.375</v>
      </c>
      <c r="K37" s="25" t="n">
        <v>46309.3333333333</v>
      </c>
    </row>
    <row r="38" customFormat="false" ht="15" hidden="false" customHeight="false" outlineLevel="0" collapsed="false">
      <c r="A38" s="26" t="n">
        <v>2</v>
      </c>
      <c r="B38" s="26" t="n">
        <v>2</v>
      </c>
      <c r="C38" s="26" t="s">
        <v>376</v>
      </c>
      <c r="D38" s="26" t="s">
        <v>377</v>
      </c>
      <c r="E38" s="26" t="s">
        <v>378</v>
      </c>
      <c r="F38" s="26" t="s">
        <v>379</v>
      </c>
      <c r="G38" s="26" t="s">
        <v>380</v>
      </c>
      <c r="H38" s="26" t="s">
        <v>375</v>
      </c>
      <c r="I38" s="28" t="n">
        <v>46309.3333564815</v>
      </c>
      <c r="J38" s="28" t="n">
        <v>46032.375</v>
      </c>
      <c r="K38" s="28" t="n">
        <v>46309.3333333333</v>
      </c>
    </row>
    <row r="39" customFormat="false" ht="15" hidden="false" customHeight="false" outlineLevel="0" collapsed="false">
      <c r="A39" s="23" t="n">
        <v>3</v>
      </c>
      <c r="B39" s="23" t="n">
        <v>3</v>
      </c>
      <c r="C39" s="23" t="s">
        <v>381</v>
      </c>
      <c r="D39" s="23" t="s">
        <v>382</v>
      </c>
      <c r="E39" s="23" t="s">
        <v>383</v>
      </c>
      <c r="F39" s="23" t="s">
        <v>384</v>
      </c>
      <c r="G39" s="23" t="s">
        <v>374</v>
      </c>
      <c r="H39" s="23" t="s">
        <v>375</v>
      </c>
      <c r="I39" s="25" t="n">
        <v>46309.3333680556</v>
      </c>
      <c r="J39" s="25" t="n">
        <v>46032.375</v>
      </c>
      <c r="K39" s="25" t="n">
        <v>46309.3333333333</v>
      </c>
    </row>
    <row r="40" customFormat="false" ht="15" hidden="false" customHeight="false" outlineLevel="0" collapsed="false">
      <c r="A40" s="26" t="n">
        <v>4</v>
      </c>
      <c r="B40" s="26" t="n">
        <v>4</v>
      </c>
      <c r="C40" s="26" t="s">
        <v>385</v>
      </c>
      <c r="D40" s="26" t="s">
        <v>386</v>
      </c>
      <c r="E40" s="26" t="s">
        <v>387</v>
      </c>
      <c r="F40" s="26" t="s">
        <v>388</v>
      </c>
      <c r="G40" s="26" t="s">
        <v>380</v>
      </c>
      <c r="H40" s="26" t="s">
        <v>389</v>
      </c>
      <c r="I40" s="28" t="n">
        <v>46309.3333796296</v>
      </c>
      <c r="J40" s="28" t="n">
        <v>46032.375</v>
      </c>
      <c r="K40" s="28" t="n">
        <v>46309.3333333333</v>
      </c>
    </row>
    <row r="41" customFormat="false" ht="15" hidden="false" customHeight="false" outlineLevel="0" collapsed="false">
      <c r="A41" s="23" t="n">
        <v>5</v>
      </c>
      <c r="B41" s="23" t="n">
        <v>5</v>
      </c>
      <c r="C41" s="23" t="s">
        <v>390</v>
      </c>
      <c r="D41" s="23" t="s">
        <v>391</v>
      </c>
      <c r="E41" s="23" t="s">
        <v>392</v>
      </c>
      <c r="F41" s="23" t="s">
        <v>393</v>
      </c>
      <c r="G41" s="23" t="s">
        <v>374</v>
      </c>
      <c r="H41" s="23" t="s">
        <v>375</v>
      </c>
      <c r="I41" s="25" t="n">
        <v>46309.3333912037</v>
      </c>
      <c r="J41" s="25" t="n">
        <v>46032.375</v>
      </c>
      <c r="K41" s="25" t="n">
        <v>46309.3333333333</v>
      </c>
    </row>
    <row r="42" customFormat="false" ht="15" hidden="false" customHeight="false" outlineLevel="0" collapsed="false">
      <c r="A42" s="26" t="n">
        <v>6</v>
      </c>
      <c r="B42" s="26" t="n">
        <v>6</v>
      </c>
      <c r="C42" s="26" t="s">
        <v>394</v>
      </c>
      <c r="D42" s="26" t="s">
        <v>395</v>
      </c>
      <c r="E42" s="26" t="s">
        <v>396</v>
      </c>
      <c r="F42" s="26" t="s">
        <v>397</v>
      </c>
      <c r="G42" s="26" t="s">
        <v>380</v>
      </c>
      <c r="H42" s="26" t="s">
        <v>375</v>
      </c>
      <c r="I42" s="28" t="n">
        <v>46309.3334027778</v>
      </c>
      <c r="J42" s="28" t="n">
        <v>46032.375</v>
      </c>
      <c r="K42" s="28" t="n">
        <v>46309.3333333333</v>
      </c>
    </row>
    <row r="43" customFormat="false" ht="15" hidden="false" customHeight="false" outlineLevel="0" collapsed="false">
      <c r="A43" s="23" t="n">
        <v>7</v>
      </c>
      <c r="B43" s="23" t="n">
        <v>7</v>
      </c>
      <c r="C43" s="23" t="s">
        <v>398</v>
      </c>
      <c r="D43" s="23" t="s">
        <v>399</v>
      </c>
      <c r="E43" s="23" t="s">
        <v>400</v>
      </c>
      <c r="F43" s="23" t="s">
        <v>401</v>
      </c>
      <c r="G43" s="23" t="s">
        <v>374</v>
      </c>
      <c r="H43" s="23" t="s">
        <v>375</v>
      </c>
      <c r="I43" s="25" t="n">
        <v>46309.3334143519</v>
      </c>
      <c r="J43" s="25" t="n">
        <v>46032.375</v>
      </c>
      <c r="K43" s="25" t="n">
        <v>46309.3333333333</v>
      </c>
    </row>
    <row r="44" customFormat="false" ht="15" hidden="false" customHeight="false" outlineLevel="0" collapsed="false">
      <c r="A44" s="26" t="n">
        <v>8</v>
      </c>
      <c r="B44" s="26" t="n">
        <v>8</v>
      </c>
      <c r="C44" s="26" t="s">
        <v>402</v>
      </c>
      <c r="D44" s="26" t="s">
        <v>403</v>
      </c>
      <c r="E44" s="26" t="s">
        <v>404</v>
      </c>
      <c r="F44" s="26" t="s">
        <v>405</v>
      </c>
      <c r="G44" s="26" t="s">
        <v>380</v>
      </c>
      <c r="H44" s="26" t="s">
        <v>375</v>
      </c>
      <c r="I44" s="28" t="n">
        <v>46309.3334259259</v>
      </c>
      <c r="J44" s="28" t="n">
        <v>46032.375</v>
      </c>
      <c r="K44" s="28" t="n">
        <v>46309.3333333333</v>
      </c>
    </row>
    <row r="45" customFormat="false" ht="15" hidden="false" customHeight="false" outlineLevel="0" collapsed="false">
      <c r="A45" s="23" t="n">
        <v>9</v>
      </c>
      <c r="B45" s="23" t="n">
        <v>9</v>
      </c>
      <c r="C45" s="23" t="s">
        <v>406</v>
      </c>
      <c r="D45" s="23" t="s">
        <v>407</v>
      </c>
      <c r="E45" s="23" t="s">
        <v>408</v>
      </c>
      <c r="F45" s="23" t="s">
        <v>409</v>
      </c>
      <c r="G45" s="23" t="s">
        <v>374</v>
      </c>
      <c r="H45" s="23" t="s">
        <v>410</v>
      </c>
      <c r="I45" s="25" t="n">
        <v>46307.9201388889</v>
      </c>
      <c r="J45" s="25" t="n">
        <v>46032.375</v>
      </c>
      <c r="K45" s="25" t="n">
        <v>46309.3333333333</v>
      </c>
    </row>
    <row r="46" customFormat="false" ht="15" hidden="false" customHeight="false" outlineLevel="0" collapsed="false">
      <c r="A46" s="26" t="n">
        <v>10</v>
      </c>
      <c r="B46" s="26" t="n">
        <v>10</v>
      </c>
      <c r="C46" s="26" t="s">
        <v>411</v>
      </c>
      <c r="D46" s="26" t="s">
        <v>412</v>
      </c>
      <c r="E46" s="26" t="s">
        <v>413</v>
      </c>
      <c r="F46" s="26" t="s">
        <v>414</v>
      </c>
      <c r="G46" s="26" t="s">
        <v>380</v>
      </c>
      <c r="H46" s="26" t="s">
        <v>375</v>
      </c>
      <c r="I46" s="28" t="n">
        <v>46309.3334490741</v>
      </c>
      <c r="J46" s="28" t="n">
        <v>46032.375</v>
      </c>
      <c r="K46" s="28" t="n">
        <v>46309.3333333333</v>
      </c>
    </row>
  </sheetData>
  <mergeCells count="6">
    <mergeCell ref="C26:E26"/>
    <mergeCell ref="C27:E27"/>
    <mergeCell ref="C28:E28"/>
    <mergeCell ref="C29:E29"/>
    <mergeCell ref="C32:E32"/>
    <mergeCell ref="C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M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60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22"/>
    <col collapsed="false" customWidth="true" hidden="false" outlineLevel="0" max="10" min="10" style="0" width="13"/>
    <col collapsed="false" customWidth="true" hidden="false" outlineLevel="0" max="11" min="11" style="0" width="42"/>
    <col collapsed="false" customWidth="true" hidden="false" outlineLevel="0" max="13" min="12" style="0" width="22"/>
  </cols>
  <sheetData>
    <row r="1" customFormat="false" ht="19.7" hidden="false" customHeight="false" outlineLevel="0" collapsed="false">
      <c r="A1" s="16" t="s">
        <v>415</v>
      </c>
    </row>
    <row r="2" customFormat="false" ht="15" hidden="false" customHeight="false" outlineLevel="0" collapsed="false">
      <c r="A2" s="17" t="s">
        <v>59</v>
      </c>
    </row>
    <row r="3" customFormat="false" ht="15" hidden="false" customHeight="false" outlineLevel="0" collapsed="false">
      <c r="A3" s="18" t="s">
        <v>336</v>
      </c>
    </row>
    <row r="4" customFormat="false" ht="15" hidden="false" customHeight="false" outlineLevel="0" collapsed="false">
      <c r="A4" s="19" t="str">
        <f aca="false">HYPERLINK("#Tables!A1","&lt;&lt; Back to Tables index")</f>
        <v>&lt;&lt; Back to Tables index</v>
      </c>
    </row>
    <row r="6" customFormat="false" ht="19.5" hidden="false" customHeight="true" outlineLevel="0" collapsed="false">
      <c r="A6" s="20" t="s">
        <v>137</v>
      </c>
      <c r="B6" s="21"/>
      <c r="C6" s="21"/>
      <c r="D6" s="21"/>
      <c r="E6" s="21"/>
      <c r="F6" s="21"/>
    </row>
    <row r="7" customFormat="false" ht="15" hidden="false" customHeight="false" outlineLevel="0" collapsed="false">
      <c r="A7" s="9" t="s">
        <v>138</v>
      </c>
      <c r="B7" s="9" t="s">
        <v>139</v>
      </c>
      <c r="C7" s="9" t="s">
        <v>140</v>
      </c>
      <c r="D7" s="9" t="s">
        <v>141</v>
      </c>
      <c r="E7" s="9" t="s">
        <v>142</v>
      </c>
      <c r="F7" s="9" t="s">
        <v>143</v>
      </c>
    </row>
    <row r="8" customFormat="false" ht="15" hidden="false" customHeight="false" outlineLevel="0" collapsed="false">
      <c r="A8" s="11" t="s">
        <v>53</v>
      </c>
      <c r="B8" s="11" t="s">
        <v>144</v>
      </c>
      <c r="C8" s="11" t="s">
        <v>145</v>
      </c>
      <c r="D8" s="11" t="s">
        <v>146</v>
      </c>
      <c r="E8" s="22" t="s">
        <v>147</v>
      </c>
      <c r="F8" s="11" t="s">
        <v>416</v>
      </c>
    </row>
    <row r="9" customFormat="false" ht="15" hidden="false" customHeight="false" outlineLevel="0" collapsed="false">
      <c r="A9" s="14" t="s">
        <v>104</v>
      </c>
      <c r="B9" s="14" t="s">
        <v>216</v>
      </c>
      <c r="C9" s="14" t="s">
        <v>145</v>
      </c>
      <c r="D9" s="14"/>
      <c r="E9" s="29" t="s">
        <v>338</v>
      </c>
      <c r="F9" s="14" t="s">
        <v>417</v>
      </c>
    </row>
    <row r="10" customFormat="false" ht="15" hidden="false" customHeight="false" outlineLevel="0" collapsed="false">
      <c r="A10" s="11" t="s">
        <v>418</v>
      </c>
      <c r="B10" s="11" t="s">
        <v>255</v>
      </c>
      <c r="C10" s="11" t="s">
        <v>145</v>
      </c>
      <c r="D10" s="11"/>
      <c r="E10" s="11" t="s">
        <v>419</v>
      </c>
      <c r="F10" s="11" t="s">
        <v>420</v>
      </c>
    </row>
    <row r="11" customFormat="false" ht="15" hidden="false" customHeight="false" outlineLevel="0" collapsed="false">
      <c r="A11" s="14" t="s">
        <v>353</v>
      </c>
      <c r="B11" s="14" t="s">
        <v>350</v>
      </c>
      <c r="C11" s="14" t="s">
        <v>145</v>
      </c>
      <c r="D11" s="14" t="s">
        <v>421</v>
      </c>
      <c r="E11" s="14" t="s">
        <v>355</v>
      </c>
      <c r="F11" s="14" t="s">
        <v>422</v>
      </c>
    </row>
    <row r="12" customFormat="false" ht="15" hidden="false" customHeight="false" outlineLevel="0" collapsed="false">
      <c r="A12" s="11" t="s">
        <v>423</v>
      </c>
      <c r="B12" s="11" t="s">
        <v>216</v>
      </c>
      <c r="C12" s="11" t="s">
        <v>222</v>
      </c>
      <c r="D12" s="11"/>
      <c r="E12" s="11"/>
      <c r="F12" s="11" t="s">
        <v>424</v>
      </c>
    </row>
    <row r="13" customFormat="false" ht="15" hidden="false" customHeight="false" outlineLevel="0" collapsed="false">
      <c r="A13" s="14" t="s">
        <v>425</v>
      </c>
      <c r="B13" s="14" t="s">
        <v>216</v>
      </c>
      <c r="C13" s="14" t="s">
        <v>222</v>
      </c>
      <c r="D13" s="14"/>
      <c r="E13" s="14" t="s">
        <v>355</v>
      </c>
      <c r="F13" s="14" t="s">
        <v>426</v>
      </c>
    </row>
    <row r="14" customFormat="false" ht="15" hidden="false" customHeight="false" outlineLevel="0" collapsed="false">
      <c r="A14" s="11" t="s">
        <v>427</v>
      </c>
      <c r="B14" s="11" t="s">
        <v>216</v>
      </c>
      <c r="C14" s="11" t="s">
        <v>222</v>
      </c>
      <c r="D14" s="11"/>
      <c r="E14" s="11"/>
      <c r="F14" s="11" t="s">
        <v>428</v>
      </c>
    </row>
    <row r="15" customFormat="false" ht="15" hidden="false" customHeight="false" outlineLevel="0" collapsed="false">
      <c r="A15" s="14" t="s">
        <v>429</v>
      </c>
      <c r="B15" s="14" t="s">
        <v>430</v>
      </c>
      <c r="C15" s="14" t="s">
        <v>222</v>
      </c>
      <c r="D15" s="14" t="s">
        <v>351</v>
      </c>
      <c r="E15" s="14"/>
      <c r="F15" s="14" t="s">
        <v>431</v>
      </c>
    </row>
    <row r="16" customFormat="false" ht="15" hidden="false" customHeight="false" outlineLevel="0" collapsed="false">
      <c r="A16" s="11" t="s">
        <v>357</v>
      </c>
      <c r="B16" s="11" t="s">
        <v>169</v>
      </c>
      <c r="C16" s="11" t="s">
        <v>222</v>
      </c>
      <c r="D16" s="11"/>
      <c r="E16" s="11"/>
      <c r="F16" s="11" t="s">
        <v>432</v>
      </c>
    </row>
    <row r="17" customFormat="false" ht="15" hidden="false" customHeight="false" outlineLevel="0" collapsed="false">
      <c r="A17" s="14" t="s">
        <v>433</v>
      </c>
      <c r="B17" s="14" t="s">
        <v>165</v>
      </c>
      <c r="C17" s="14" t="s">
        <v>145</v>
      </c>
      <c r="D17" s="14" t="s">
        <v>166</v>
      </c>
      <c r="E17" s="14"/>
      <c r="F17" s="14" t="s">
        <v>434</v>
      </c>
    </row>
    <row r="18" customFormat="false" ht="15" hidden="false" customHeight="false" outlineLevel="0" collapsed="false">
      <c r="A18" s="11" t="s">
        <v>435</v>
      </c>
      <c r="B18" s="11" t="s">
        <v>258</v>
      </c>
      <c r="C18" s="11" t="s">
        <v>222</v>
      </c>
      <c r="D18" s="11"/>
      <c r="E18" s="11"/>
      <c r="F18" s="11" t="s">
        <v>436</v>
      </c>
    </row>
    <row r="19" customFormat="false" ht="15" hidden="false" customHeight="false" outlineLevel="0" collapsed="false">
      <c r="A19" s="14" t="s">
        <v>168</v>
      </c>
      <c r="B19" s="14" t="s">
        <v>169</v>
      </c>
      <c r="C19" s="14" t="s">
        <v>145</v>
      </c>
      <c r="D19" s="14" t="s">
        <v>170</v>
      </c>
      <c r="E19" s="14"/>
      <c r="F19" s="14" t="s">
        <v>171</v>
      </c>
    </row>
    <row r="20" customFormat="false" ht="15" hidden="false" customHeight="false" outlineLevel="0" collapsed="false">
      <c r="A20" s="11" t="s">
        <v>172</v>
      </c>
      <c r="B20" s="11" t="s">
        <v>169</v>
      </c>
      <c r="C20" s="11" t="s">
        <v>145</v>
      </c>
      <c r="D20" s="11" t="s">
        <v>170</v>
      </c>
      <c r="E20" s="11"/>
      <c r="F20" s="11" t="s">
        <v>173</v>
      </c>
    </row>
    <row r="22" customFormat="false" ht="19.5" hidden="false" customHeight="true" outlineLevel="0" collapsed="false">
      <c r="A22" s="20" t="s">
        <v>174</v>
      </c>
      <c r="B22" s="21"/>
      <c r="C22" s="21"/>
      <c r="D22" s="21"/>
      <c r="E22" s="21"/>
      <c r="F22" s="21"/>
    </row>
    <row r="23" customFormat="false" ht="15" hidden="false" customHeight="false" outlineLevel="0" collapsed="false">
      <c r="A23" s="9" t="s">
        <v>175</v>
      </c>
      <c r="B23" s="9" t="s">
        <v>176</v>
      </c>
      <c r="C23" s="9" t="s">
        <v>177</v>
      </c>
      <c r="D23" s="9" t="s">
        <v>178</v>
      </c>
      <c r="E23" s="9" t="s">
        <v>86</v>
      </c>
      <c r="F23" s="9" t="s">
        <v>179</v>
      </c>
    </row>
    <row r="24" customFormat="false" ht="15" hidden="false" customHeight="false" outlineLevel="0" collapsed="false">
      <c r="A24" s="11" t="s">
        <v>229</v>
      </c>
      <c r="B24" s="11" t="s">
        <v>104</v>
      </c>
      <c r="C24" s="11" t="s">
        <v>100</v>
      </c>
      <c r="D24" s="11" t="s">
        <v>53</v>
      </c>
      <c r="E24" s="11" t="s">
        <v>92</v>
      </c>
      <c r="F24" s="11" t="s">
        <v>303</v>
      </c>
    </row>
    <row r="25" customFormat="false" ht="23.85" hidden="false" customHeight="false" outlineLevel="0" collapsed="false">
      <c r="A25" s="14" t="s">
        <v>180</v>
      </c>
      <c r="B25" s="14" t="s">
        <v>53</v>
      </c>
      <c r="C25" s="14" t="s">
        <v>113</v>
      </c>
      <c r="D25" s="14" t="s">
        <v>114</v>
      </c>
      <c r="E25" s="14" t="s">
        <v>92</v>
      </c>
      <c r="F25" s="14" t="s">
        <v>437</v>
      </c>
    </row>
    <row r="26" customFormat="false" ht="15" hidden="false" customHeight="false" outlineLevel="0" collapsed="false">
      <c r="A26" s="11" t="s">
        <v>180</v>
      </c>
      <c r="B26" s="11" t="s">
        <v>53</v>
      </c>
      <c r="C26" s="11" t="s">
        <v>121</v>
      </c>
      <c r="D26" s="11" t="s">
        <v>114</v>
      </c>
      <c r="E26" s="11" t="s">
        <v>92</v>
      </c>
      <c r="F26" s="11" t="s">
        <v>438</v>
      </c>
    </row>
    <row r="27" customFormat="false" ht="23.85" hidden="false" customHeight="false" outlineLevel="0" collapsed="false">
      <c r="A27" s="14" t="s">
        <v>180</v>
      </c>
      <c r="B27" s="14" t="s">
        <v>53</v>
      </c>
      <c r="C27" s="14" t="s">
        <v>127</v>
      </c>
      <c r="D27" s="14" t="s">
        <v>114</v>
      </c>
      <c r="E27" s="14" t="s">
        <v>128</v>
      </c>
      <c r="F27" s="14" t="s">
        <v>439</v>
      </c>
    </row>
    <row r="29" customFormat="false" ht="19.5" hidden="false" customHeight="true" outlineLevel="0" collapsed="false">
      <c r="A29" s="20" t="s">
        <v>184</v>
      </c>
      <c r="B29" s="21"/>
      <c r="C29" s="21"/>
      <c r="D29" s="21"/>
      <c r="E29" s="21"/>
      <c r="F29" s="21"/>
    </row>
    <row r="30" customFormat="false" ht="15" hidden="false" customHeight="true" outlineLevel="0" collapsed="false">
      <c r="A30" s="9" t="s">
        <v>185</v>
      </c>
      <c r="B30" s="9" t="s">
        <v>42</v>
      </c>
      <c r="C30" s="9" t="s">
        <v>186</v>
      </c>
      <c r="D30" s="9"/>
      <c r="E30" s="9"/>
      <c r="F30" s="9" t="s">
        <v>43</v>
      </c>
    </row>
    <row r="31" customFormat="false" ht="15" hidden="false" customHeight="true" outlineLevel="0" collapsed="false">
      <c r="A31" s="11" t="s">
        <v>440</v>
      </c>
      <c r="B31" s="11" t="s">
        <v>188</v>
      </c>
      <c r="C31" s="11" t="s">
        <v>189</v>
      </c>
      <c r="D31" s="11"/>
      <c r="E31" s="11"/>
      <c r="F31" s="11" t="s">
        <v>190</v>
      </c>
    </row>
    <row r="32" customFormat="false" ht="15" hidden="false" customHeight="true" outlineLevel="0" collapsed="false">
      <c r="A32" s="14" t="s">
        <v>441</v>
      </c>
      <c r="B32" s="14" t="s">
        <v>192</v>
      </c>
      <c r="C32" s="14" t="s">
        <v>442</v>
      </c>
      <c r="D32" s="14"/>
      <c r="E32" s="14"/>
      <c r="F32" s="14" t="s">
        <v>443</v>
      </c>
    </row>
    <row r="33" customFormat="false" ht="15" hidden="false" customHeight="true" outlineLevel="0" collapsed="false">
      <c r="A33" s="11" t="s">
        <v>444</v>
      </c>
      <c r="B33" s="11" t="s">
        <v>355</v>
      </c>
      <c r="C33" s="11" t="s">
        <v>445</v>
      </c>
      <c r="D33" s="11"/>
      <c r="E33" s="11"/>
      <c r="F33" s="11" t="s">
        <v>446</v>
      </c>
    </row>
    <row r="34" customFormat="false" ht="15" hidden="false" customHeight="true" outlineLevel="0" collapsed="false">
      <c r="A34" s="14" t="s">
        <v>447</v>
      </c>
      <c r="B34" s="14" t="s">
        <v>355</v>
      </c>
      <c r="C34" s="14" t="s">
        <v>448</v>
      </c>
      <c r="D34" s="14"/>
      <c r="E34" s="14"/>
      <c r="F34" s="14" t="s">
        <v>449</v>
      </c>
    </row>
    <row r="36" customFormat="false" ht="19.5" hidden="false" customHeight="true" outlineLevel="0" collapsed="false">
      <c r="A36" s="20" t="s">
        <v>196</v>
      </c>
      <c r="B36" s="21"/>
      <c r="C36" s="21"/>
      <c r="D36" s="21"/>
      <c r="E36" s="21"/>
      <c r="F36" s="21"/>
    </row>
    <row r="37" customFormat="false" ht="15" hidden="false" customHeight="true" outlineLevel="0" collapsed="false">
      <c r="A37" s="9" t="s">
        <v>197</v>
      </c>
      <c r="B37" s="9" t="s">
        <v>42</v>
      </c>
      <c r="C37" s="9" t="s">
        <v>198</v>
      </c>
      <c r="D37" s="9"/>
      <c r="E37" s="9"/>
      <c r="F37" s="9" t="s">
        <v>43</v>
      </c>
    </row>
    <row r="38" customFormat="false" ht="15" hidden="false" customHeight="true" outlineLevel="0" collapsed="false">
      <c r="A38" s="11" t="s">
        <v>450</v>
      </c>
      <c r="B38" s="11" t="s">
        <v>367</v>
      </c>
      <c r="C38" s="11" t="s">
        <v>451</v>
      </c>
      <c r="D38" s="11"/>
      <c r="E38" s="11"/>
      <c r="F38" s="11" t="s">
        <v>452</v>
      </c>
    </row>
    <row r="40" customFormat="false" ht="19.5" hidden="false" customHeight="true" outlineLevel="0" collapsed="false">
      <c r="A40" s="20" t="s">
        <v>453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customFormat="false" ht="15" hidden="false" customHeight="false" outlineLevel="0" collapsed="false">
      <c r="A41" s="9" t="s">
        <v>53</v>
      </c>
      <c r="B41" s="9" t="s">
        <v>104</v>
      </c>
      <c r="C41" s="9" t="s">
        <v>418</v>
      </c>
      <c r="D41" s="9" t="s">
        <v>353</v>
      </c>
      <c r="E41" s="9" t="s">
        <v>423</v>
      </c>
      <c r="F41" s="9" t="s">
        <v>425</v>
      </c>
      <c r="G41" s="9" t="s">
        <v>427</v>
      </c>
      <c r="H41" s="9" t="s">
        <v>429</v>
      </c>
      <c r="I41" s="9" t="s">
        <v>357</v>
      </c>
      <c r="J41" s="9" t="s">
        <v>433</v>
      </c>
      <c r="K41" s="9" t="s">
        <v>435</v>
      </c>
      <c r="L41" s="9" t="s">
        <v>168</v>
      </c>
      <c r="M41" s="9" t="s">
        <v>172</v>
      </c>
    </row>
    <row r="42" customFormat="false" ht="15" hidden="false" customHeight="false" outlineLevel="0" collapsed="false">
      <c r="A42" s="23" t="n">
        <v>101</v>
      </c>
      <c r="B42" s="23" t="n">
        <v>1</v>
      </c>
      <c r="C42" s="23" t="s">
        <v>454</v>
      </c>
      <c r="D42" s="23" t="s">
        <v>455</v>
      </c>
      <c r="E42" s="23" t="n">
        <v>1</v>
      </c>
      <c r="F42" s="23" t="n">
        <v>68</v>
      </c>
      <c r="G42" s="23" t="n">
        <v>-48</v>
      </c>
      <c r="H42" s="23" t="s">
        <v>456</v>
      </c>
      <c r="I42" s="25" t="n">
        <v>46309.3340277778</v>
      </c>
      <c r="J42" s="24" t="b">
        <f aca="false">TRUE()</f>
        <v>1</v>
      </c>
      <c r="K42" s="23"/>
      <c r="L42" s="25" t="n">
        <v>46032.375</v>
      </c>
      <c r="M42" s="25" t="n">
        <v>46309.3333333333</v>
      </c>
    </row>
    <row r="43" customFormat="false" ht="15" hidden="false" customHeight="false" outlineLevel="0" collapsed="false">
      <c r="A43" s="26" t="n">
        <v>102</v>
      </c>
      <c r="B43" s="26" t="n">
        <v>1</v>
      </c>
      <c r="C43" s="26" t="s">
        <v>457</v>
      </c>
      <c r="D43" s="26" t="s">
        <v>458</v>
      </c>
      <c r="E43" s="26" t="n">
        <v>2</v>
      </c>
      <c r="F43" s="26" t="n">
        <v>61</v>
      </c>
      <c r="G43" s="26" t="n">
        <v>-51</v>
      </c>
      <c r="H43" s="26" t="s">
        <v>459</v>
      </c>
      <c r="I43" s="28" t="n">
        <v>46309.3347222222</v>
      </c>
      <c r="J43" s="27" t="b">
        <f aca="false">TRUE()</f>
        <v>1</v>
      </c>
      <c r="K43" s="26"/>
      <c r="L43" s="28" t="n">
        <v>46032.375</v>
      </c>
      <c r="M43" s="28" t="n">
        <v>46309.3333333333</v>
      </c>
    </row>
    <row r="44" customFormat="false" ht="15" hidden="false" customHeight="false" outlineLevel="0" collapsed="false">
      <c r="A44" s="23" t="n">
        <v>103</v>
      </c>
      <c r="B44" s="23" t="n">
        <v>1</v>
      </c>
      <c r="C44" s="23" t="s">
        <v>460</v>
      </c>
      <c r="D44" s="23" t="s">
        <v>455</v>
      </c>
      <c r="E44" s="23" t="n">
        <v>3</v>
      </c>
      <c r="F44" s="23" t="n">
        <v>99</v>
      </c>
      <c r="G44" s="23" t="n">
        <v>-54</v>
      </c>
      <c r="H44" s="23" t="s">
        <v>456</v>
      </c>
      <c r="I44" s="25" t="n">
        <v>46309.3354166667</v>
      </c>
      <c r="J44" s="24" t="b">
        <f aca="false">TRUE()</f>
        <v>1</v>
      </c>
      <c r="K44" s="23"/>
      <c r="L44" s="25" t="n">
        <v>46032.375</v>
      </c>
      <c r="M44" s="25" t="n">
        <v>46309.3333333333</v>
      </c>
    </row>
    <row r="45" customFormat="false" ht="15" hidden="false" customHeight="false" outlineLevel="0" collapsed="false">
      <c r="A45" s="26" t="n">
        <v>104</v>
      </c>
      <c r="B45" s="26" t="n">
        <v>1</v>
      </c>
      <c r="C45" s="26" t="s">
        <v>461</v>
      </c>
      <c r="D45" s="26" t="s">
        <v>455</v>
      </c>
      <c r="E45" s="26" t="n">
        <v>4</v>
      </c>
      <c r="F45" s="26" t="n">
        <v>92</v>
      </c>
      <c r="G45" s="26" t="n">
        <v>-57</v>
      </c>
      <c r="H45" s="26" t="s">
        <v>456</v>
      </c>
      <c r="I45" s="28" t="n">
        <v>46309.3361111111</v>
      </c>
      <c r="J45" s="27" t="b">
        <f aca="false">TRUE()</f>
        <v>1</v>
      </c>
      <c r="K45" s="26"/>
      <c r="L45" s="28" t="n">
        <v>46032.375</v>
      </c>
      <c r="M45" s="28" t="n">
        <v>46309.3333333333</v>
      </c>
    </row>
    <row r="46" customFormat="false" ht="15" hidden="false" customHeight="false" outlineLevel="0" collapsed="false">
      <c r="A46" s="23" t="n">
        <v>105</v>
      </c>
      <c r="B46" s="23" t="n">
        <v>1</v>
      </c>
      <c r="C46" s="23" t="s">
        <v>462</v>
      </c>
      <c r="D46" s="23" t="s">
        <v>389</v>
      </c>
      <c r="E46" s="23" t="n">
        <v>5</v>
      </c>
      <c r="F46" s="23" t="n">
        <v>42</v>
      </c>
      <c r="G46" s="23" t="n">
        <v>-75</v>
      </c>
      <c r="H46" s="23" t="s">
        <v>459</v>
      </c>
      <c r="I46" s="25" t="n">
        <v>46309.3368055556</v>
      </c>
      <c r="J46" s="24" t="b">
        <f aca="false">TRUE()</f>
        <v>1</v>
      </c>
      <c r="K46" s="23" t="s">
        <v>463</v>
      </c>
      <c r="L46" s="25" t="n">
        <v>46032.375</v>
      </c>
      <c r="M46" s="25" t="n">
        <v>46309.3333333333</v>
      </c>
    </row>
    <row r="47" customFormat="false" ht="15" hidden="false" customHeight="false" outlineLevel="0" collapsed="false">
      <c r="A47" s="26" t="n">
        <v>201</v>
      </c>
      <c r="B47" s="26" t="n">
        <v>2</v>
      </c>
      <c r="C47" s="26" t="s">
        <v>464</v>
      </c>
      <c r="D47" s="26" t="s">
        <v>455</v>
      </c>
      <c r="E47" s="26" t="n">
        <v>1</v>
      </c>
      <c r="F47" s="26" t="n">
        <v>88</v>
      </c>
      <c r="G47" s="26" t="n">
        <v>-48</v>
      </c>
      <c r="H47" s="26" t="s">
        <v>459</v>
      </c>
      <c r="I47" s="28" t="n">
        <v>46309.3340277778</v>
      </c>
      <c r="J47" s="27" t="b">
        <f aca="false">TRUE()</f>
        <v>1</v>
      </c>
      <c r="K47" s="26"/>
      <c r="L47" s="28" t="n">
        <v>46032.375</v>
      </c>
      <c r="M47" s="28" t="n">
        <v>46309.3333333333</v>
      </c>
    </row>
    <row r="48" customFormat="false" ht="15" hidden="false" customHeight="false" outlineLevel="0" collapsed="false">
      <c r="A48" s="23" t="n">
        <v>202</v>
      </c>
      <c r="B48" s="23" t="n">
        <v>2</v>
      </c>
      <c r="C48" s="23" t="s">
        <v>465</v>
      </c>
      <c r="D48" s="23" t="s">
        <v>458</v>
      </c>
      <c r="E48" s="23" t="n">
        <v>2</v>
      </c>
      <c r="F48" s="23" t="n">
        <v>81</v>
      </c>
      <c r="G48" s="23" t="n">
        <v>-51</v>
      </c>
      <c r="H48" s="23" t="s">
        <v>456</v>
      </c>
      <c r="I48" s="25" t="n">
        <v>46309.3347222222</v>
      </c>
      <c r="J48" s="24" t="b">
        <f aca="false">TRUE()</f>
        <v>1</v>
      </c>
      <c r="K48" s="23"/>
      <c r="L48" s="25" t="n">
        <v>46032.375</v>
      </c>
      <c r="M48" s="25" t="n">
        <v>46309.3333333333</v>
      </c>
    </row>
    <row r="49" customFormat="false" ht="15" hidden="false" customHeight="false" outlineLevel="0" collapsed="false">
      <c r="A49" s="26" t="n">
        <v>203</v>
      </c>
      <c r="B49" s="26" t="n">
        <v>2</v>
      </c>
      <c r="C49" s="26" t="s">
        <v>466</v>
      </c>
      <c r="D49" s="26" t="s">
        <v>458</v>
      </c>
      <c r="E49" s="26" t="n">
        <v>3</v>
      </c>
      <c r="F49" s="26" t="n">
        <v>74</v>
      </c>
      <c r="G49" s="26" t="n">
        <v>-54</v>
      </c>
      <c r="H49" s="26" t="s">
        <v>456</v>
      </c>
      <c r="I49" s="28" t="n">
        <v>46309.3354166667</v>
      </c>
      <c r="J49" s="27" t="b">
        <f aca="false">TRUE()</f>
        <v>1</v>
      </c>
      <c r="K49" s="26"/>
      <c r="L49" s="28" t="n">
        <v>46032.375</v>
      </c>
      <c r="M49" s="28" t="n">
        <v>46309.3333333333</v>
      </c>
    </row>
    <row r="50" customFormat="false" ht="15" hidden="false" customHeight="false" outlineLevel="0" collapsed="false">
      <c r="A50" s="23" t="n">
        <v>204</v>
      </c>
      <c r="B50" s="23" t="n">
        <v>2</v>
      </c>
      <c r="C50" s="23" t="s">
        <v>467</v>
      </c>
      <c r="D50" s="23" t="s">
        <v>455</v>
      </c>
      <c r="E50" s="23" t="n">
        <v>4</v>
      </c>
      <c r="F50" s="23" t="n">
        <v>67</v>
      </c>
      <c r="G50" s="23" t="n">
        <v>-57</v>
      </c>
      <c r="H50" s="23" t="s">
        <v>459</v>
      </c>
      <c r="I50" s="25" t="n">
        <v>46309.3361111111</v>
      </c>
      <c r="J50" s="24" t="b">
        <f aca="false">TRUE()</f>
        <v>1</v>
      </c>
      <c r="K50" s="23"/>
      <c r="L50" s="25" t="n">
        <v>46032.375</v>
      </c>
      <c r="M50" s="25" t="n">
        <v>46309.3333333333</v>
      </c>
    </row>
    <row r="51" customFormat="false" ht="15" hidden="false" customHeight="false" outlineLevel="0" collapsed="false">
      <c r="A51" s="26" t="n">
        <v>205</v>
      </c>
      <c r="B51" s="26" t="n">
        <v>2</v>
      </c>
      <c r="C51" s="26" t="s">
        <v>468</v>
      </c>
      <c r="D51" s="26" t="s">
        <v>469</v>
      </c>
      <c r="E51" s="26" t="n">
        <v>5</v>
      </c>
      <c r="F51" s="26" t="n">
        <v>60</v>
      </c>
      <c r="G51" s="26" t="n">
        <v>-60</v>
      </c>
      <c r="H51" s="26" t="s">
        <v>456</v>
      </c>
      <c r="I51" s="28" t="n">
        <v>46309.3368055556</v>
      </c>
      <c r="J51" s="27" t="b">
        <f aca="false">TRUE()</f>
        <v>1</v>
      </c>
      <c r="K51" s="26" t="s">
        <v>470</v>
      </c>
      <c r="L51" s="28" t="n">
        <v>46032.375</v>
      </c>
      <c r="M51" s="28" t="n">
        <v>46309.3333333333</v>
      </c>
    </row>
    <row r="52" customFormat="false" ht="15" hidden="false" customHeight="false" outlineLevel="0" collapsed="false">
      <c r="A52" s="23" t="n">
        <v>301</v>
      </c>
      <c r="B52" s="23" t="n">
        <v>3</v>
      </c>
      <c r="C52" s="23" t="s">
        <v>471</v>
      </c>
      <c r="D52" s="23" t="s">
        <v>455</v>
      </c>
      <c r="E52" s="23" t="n">
        <v>1</v>
      </c>
      <c r="F52" s="23" t="n">
        <v>63</v>
      </c>
      <c r="G52" s="23" t="n">
        <v>-48</v>
      </c>
      <c r="H52" s="23" t="s">
        <v>456</v>
      </c>
      <c r="I52" s="25" t="n">
        <v>46309.3340277778</v>
      </c>
      <c r="J52" s="24" t="b">
        <f aca="false">TRUE()</f>
        <v>1</v>
      </c>
      <c r="K52" s="23"/>
      <c r="L52" s="25" t="n">
        <v>46032.375</v>
      </c>
      <c r="M52" s="25" t="n">
        <v>46309.3333333333</v>
      </c>
    </row>
    <row r="53" customFormat="false" ht="15" hidden="false" customHeight="false" outlineLevel="0" collapsed="false">
      <c r="A53" s="26" t="n">
        <v>302</v>
      </c>
      <c r="B53" s="26" t="n">
        <v>3</v>
      </c>
      <c r="C53" s="26" t="s">
        <v>472</v>
      </c>
      <c r="D53" s="26" t="s">
        <v>458</v>
      </c>
      <c r="E53" s="26" t="n">
        <v>2</v>
      </c>
      <c r="F53" s="26" t="n">
        <v>56</v>
      </c>
      <c r="G53" s="26" t="n">
        <v>-51</v>
      </c>
      <c r="H53" s="26" t="s">
        <v>456</v>
      </c>
      <c r="I53" s="28" t="n">
        <v>46309.3347222222</v>
      </c>
      <c r="J53" s="27" t="b">
        <f aca="false">TRUE()</f>
        <v>1</v>
      </c>
      <c r="K53" s="26"/>
      <c r="L53" s="28" t="n">
        <v>46032.375</v>
      </c>
      <c r="M53" s="28" t="n">
        <v>46309.3333333333</v>
      </c>
    </row>
    <row r="54" customFormat="false" ht="15" hidden="false" customHeight="false" outlineLevel="0" collapsed="false">
      <c r="A54" s="23" t="n">
        <v>303</v>
      </c>
      <c r="B54" s="23" t="n">
        <v>3</v>
      </c>
      <c r="C54" s="23" t="s">
        <v>473</v>
      </c>
      <c r="D54" s="23" t="s">
        <v>455</v>
      </c>
      <c r="E54" s="23" t="n">
        <v>3</v>
      </c>
      <c r="F54" s="23" t="n">
        <v>94</v>
      </c>
      <c r="G54" s="23" t="n">
        <v>-54</v>
      </c>
      <c r="H54" s="23" t="s">
        <v>459</v>
      </c>
      <c r="I54" s="25" t="n">
        <v>46309.3354166667</v>
      </c>
      <c r="J54" s="24" t="b">
        <f aca="false">TRUE()</f>
        <v>1</v>
      </c>
      <c r="K54" s="23"/>
      <c r="L54" s="25" t="n">
        <v>46032.375</v>
      </c>
      <c r="M54" s="25" t="n">
        <v>46309.3333333333</v>
      </c>
    </row>
    <row r="55" customFormat="false" ht="15" hidden="false" customHeight="false" outlineLevel="0" collapsed="false">
      <c r="A55" s="26" t="n">
        <v>304</v>
      </c>
      <c r="B55" s="26" t="n">
        <v>3</v>
      </c>
      <c r="C55" s="26" t="s">
        <v>474</v>
      </c>
      <c r="D55" s="26" t="s">
        <v>410</v>
      </c>
      <c r="E55" s="26" t="n">
        <v>4</v>
      </c>
      <c r="F55" s="26" t="n">
        <v>5</v>
      </c>
      <c r="G55" s="26" t="n">
        <v>-95</v>
      </c>
      <c r="H55" s="26" t="s">
        <v>456</v>
      </c>
      <c r="I55" s="28" t="n">
        <v>46307.1354166667</v>
      </c>
      <c r="J55" s="27" t="b">
        <f aca="false">TRUE()</f>
        <v>1</v>
      </c>
      <c r="K55" s="26" t="s">
        <v>475</v>
      </c>
      <c r="L55" s="28" t="n">
        <v>46032.375</v>
      </c>
      <c r="M55" s="28" t="n">
        <v>46309.3333333333</v>
      </c>
    </row>
    <row r="56" customFormat="false" ht="15" hidden="false" customHeight="false" outlineLevel="0" collapsed="false">
      <c r="A56" s="23" t="n">
        <v>401</v>
      </c>
      <c r="B56" s="23" t="n">
        <v>4</v>
      </c>
      <c r="C56" s="23" t="s">
        <v>476</v>
      </c>
      <c r="D56" s="23" t="s">
        <v>455</v>
      </c>
      <c r="E56" s="23" t="n">
        <v>1</v>
      </c>
      <c r="F56" s="23" t="n">
        <v>83</v>
      </c>
      <c r="G56" s="23" t="n">
        <v>-48</v>
      </c>
      <c r="H56" s="23" t="s">
        <v>456</v>
      </c>
      <c r="I56" s="25" t="n">
        <v>46309.3340277778</v>
      </c>
      <c r="J56" s="24" t="b">
        <f aca="false">TRUE()</f>
        <v>1</v>
      </c>
      <c r="K56" s="23"/>
      <c r="L56" s="25" t="n">
        <v>46032.375</v>
      </c>
      <c r="M56" s="25" t="n">
        <v>46309.3333333333</v>
      </c>
    </row>
    <row r="57" customFormat="false" ht="15" hidden="false" customHeight="false" outlineLevel="0" collapsed="false">
      <c r="A57" s="26" t="n">
        <v>402</v>
      </c>
      <c r="B57" s="26" t="n">
        <v>4</v>
      </c>
      <c r="C57" s="26" t="s">
        <v>477</v>
      </c>
      <c r="D57" s="26" t="s">
        <v>455</v>
      </c>
      <c r="E57" s="26" t="n">
        <v>2</v>
      </c>
      <c r="F57" s="26" t="n">
        <v>76</v>
      </c>
      <c r="G57" s="26" t="n">
        <v>-51</v>
      </c>
      <c r="H57" s="26" t="s">
        <v>459</v>
      </c>
      <c r="I57" s="28" t="n">
        <v>46309.3347222222</v>
      </c>
      <c r="J57" s="27" t="b">
        <f aca="false">TRUE()</f>
        <v>1</v>
      </c>
      <c r="K57" s="26"/>
      <c r="L57" s="28" t="n">
        <v>46032.375</v>
      </c>
      <c r="M57" s="28" t="n">
        <v>46309.3333333333</v>
      </c>
    </row>
    <row r="58" customFormat="false" ht="15" hidden="false" customHeight="false" outlineLevel="0" collapsed="false">
      <c r="A58" s="23" t="n">
        <v>403</v>
      </c>
      <c r="B58" s="23" t="n">
        <v>4</v>
      </c>
      <c r="C58" s="23" t="s">
        <v>478</v>
      </c>
      <c r="D58" s="23" t="s">
        <v>458</v>
      </c>
      <c r="E58" s="23" t="n">
        <v>3</v>
      </c>
      <c r="F58" s="23" t="n">
        <v>69</v>
      </c>
      <c r="G58" s="23" t="n">
        <v>-54</v>
      </c>
      <c r="H58" s="23" t="s">
        <v>456</v>
      </c>
      <c r="I58" s="25" t="n">
        <v>46309.3354166667</v>
      </c>
      <c r="J58" s="24" t="b">
        <f aca="false">TRUE()</f>
        <v>1</v>
      </c>
      <c r="K58" s="23"/>
      <c r="L58" s="25" t="n">
        <v>46032.375</v>
      </c>
      <c r="M58" s="25" t="n">
        <v>46309.3333333333</v>
      </c>
    </row>
    <row r="59" customFormat="false" ht="15" hidden="false" customHeight="false" outlineLevel="0" collapsed="false">
      <c r="A59" s="26" t="n">
        <v>501</v>
      </c>
      <c r="B59" s="26" t="n">
        <v>5</v>
      </c>
      <c r="C59" s="26" t="s">
        <v>479</v>
      </c>
      <c r="D59" s="26" t="s">
        <v>458</v>
      </c>
      <c r="E59" s="26" t="n">
        <v>1</v>
      </c>
      <c r="F59" s="26" t="n">
        <v>58</v>
      </c>
      <c r="G59" s="26" t="n">
        <v>-48</v>
      </c>
      <c r="H59" s="26" t="s">
        <v>459</v>
      </c>
      <c r="I59" s="28" t="n">
        <v>46309.3340277778</v>
      </c>
      <c r="J59" s="27" t="b">
        <f aca="false">TRUE()</f>
        <v>1</v>
      </c>
      <c r="K59" s="26"/>
      <c r="L59" s="28" t="n">
        <v>46032.375</v>
      </c>
      <c r="M59" s="28" t="n">
        <v>46309.3333333333</v>
      </c>
    </row>
    <row r="60" customFormat="false" ht="15" hidden="false" customHeight="false" outlineLevel="0" collapsed="false">
      <c r="A60" s="23" t="n">
        <v>502</v>
      </c>
      <c r="B60" s="23" t="n">
        <v>5</v>
      </c>
      <c r="C60" s="23" t="s">
        <v>480</v>
      </c>
      <c r="D60" s="23" t="s">
        <v>455</v>
      </c>
      <c r="E60" s="23" t="n">
        <v>2</v>
      </c>
      <c r="F60" s="23" t="n">
        <v>96</v>
      </c>
      <c r="G60" s="23" t="n">
        <v>-51</v>
      </c>
      <c r="H60" s="23" t="s">
        <v>456</v>
      </c>
      <c r="I60" s="25" t="n">
        <v>46309.3347222222</v>
      </c>
      <c r="J60" s="24" t="b">
        <f aca="false">TRUE()</f>
        <v>1</v>
      </c>
      <c r="K60" s="23"/>
      <c r="L60" s="25" t="n">
        <v>46032.375</v>
      </c>
      <c r="M60" s="25" t="n">
        <v>46309.3333333333</v>
      </c>
    </row>
    <row r="61" customFormat="false" ht="15" hidden="false" customHeight="false" outlineLevel="0" collapsed="false">
      <c r="A61" s="26" t="n">
        <v>503</v>
      </c>
      <c r="B61" s="26" t="n">
        <v>5</v>
      </c>
      <c r="C61" s="26" t="s">
        <v>481</v>
      </c>
      <c r="D61" s="26" t="s">
        <v>458</v>
      </c>
      <c r="E61" s="26" t="n">
        <v>3</v>
      </c>
      <c r="F61" s="26" t="n">
        <v>89</v>
      </c>
      <c r="G61" s="26" t="n">
        <v>-54</v>
      </c>
      <c r="H61" s="26" t="s">
        <v>456</v>
      </c>
      <c r="I61" s="28" t="n">
        <v>46309.3354166667</v>
      </c>
      <c r="J61" s="27" t="b">
        <f aca="false">TRUE()</f>
        <v>1</v>
      </c>
      <c r="K61" s="26"/>
      <c r="L61" s="28" t="n">
        <v>46032.375</v>
      </c>
      <c r="M61" s="28" t="n">
        <v>46309.3333333333</v>
      </c>
    </row>
    <row r="62" customFormat="false" ht="15" hidden="false" customHeight="false" outlineLevel="0" collapsed="false">
      <c r="A62" s="23" t="n">
        <v>504</v>
      </c>
      <c r="B62" s="23" t="n">
        <v>5</v>
      </c>
      <c r="C62" s="23" t="s">
        <v>482</v>
      </c>
      <c r="D62" s="23" t="s">
        <v>455</v>
      </c>
      <c r="E62" s="23" t="n">
        <v>4</v>
      </c>
      <c r="F62" s="23" t="n">
        <v>82</v>
      </c>
      <c r="G62" s="23" t="n">
        <v>-57</v>
      </c>
      <c r="H62" s="23" t="s">
        <v>459</v>
      </c>
      <c r="I62" s="25" t="n">
        <v>46309.3361111111</v>
      </c>
      <c r="J62" s="24" t="b">
        <f aca="false">TRUE()</f>
        <v>1</v>
      </c>
      <c r="K62" s="23"/>
      <c r="L62" s="25" t="n">
        <v>46032.375</v>
      </c>
      <c r="M62" s="25" t="n">
        <v>46309.3333333333</v>
      </c>
    </row>
    <row r="63" customFormat="false" ht="15" hidden="false" customHeight="false" outlineLevel="0" collapsed="false">
      <c r="A63" s="26" t="n">
        <v>601</v>
      </c>
      <c r="B63" s="26" t="n">
        <v>6</v>
      </c>
      <c r="C63" s="26" t="s">
        <v>483</v>
      </c>
      <c r="D63" s="26" t="s">
        <v>455</v>
      </c>
      <c r="E63" s="26" t="n">
        <v>1</v>
      </c>
      <c r="F63" s="26" t="n">
        <v>78</v>
      </c>
      <c r="G63" s="26" t="n">
        <v>-48</v>
      </c>
      <c r="H63" s="26" t="s">
        <v>456</v>
      </c>
      <c r="I63" s="28" t="n">
        <v>46309.3340277778</v>
      </c>
      <c r="J63" s="27" t="b">
        <f aca="false">TRUE()</f>
        <v>1</v>
      </c>
      <c r="K63" s="26"/>
      <c r="L63" s="28" t="n">
        <v>46032.375</v>
      </c>
      <c r="M63" s="28" t="n">
        <v>46309.3333333333</v>
      </c>
    </row>
    <row r="64" customFormat="false" ht="15" hidden="false" customHeight="false" outlineLevel="0" collapsed="false">
      <c r="A64" s="23" t="n">
        <v>602</v>
      </c>
      <c r="B64" s="23" t="n">
        <v>6</v>
      </c>
      <c r="C64" s="23" t="s">
        <v>484</v>
      </c>
      <c r="D64" s="23" t="s">
        <v>458</v>
      </c>
      <c r="E64" s="23" t="n">
        <v>2</v>
      </c>
      <c r="F64" s="23" t="n">
        <v>71</v>
      </c>
      <c r="G64" s="23" t="n">
        <v>-51</v>
      </c>
      <c r="H64" s="23" t="s">
        <v>456</v>
      </c>
      <c r="I64" s="25" t="n">
        <v>46309.3347222222</v>
      </c>
      <c r="J64" s="24" t="b">
        <f aca="false">TRUE()</f>
        <v>1</v>
      </c>
      <c r="K64" s="23"/>
      <c r="L64" s="25" t="n">
        <v>46032.375</v>
      </c>
      <c r="M64" s="25" t="n">
        <v>46309.3333333333</v>
      </c>
    </row>
    <row r="65" customFormat="false" ht="15" hidden="false" customHeight="false" outlineLevel="0" collapsed="false">
      <c r="A65" s="26" t="n">
        <v>603</v>
      </c>
      <c r="B65" s="26" t="n">
        <v>6</v>
      </c>
      <c r="C65" s="26" t="s">
        <v>485</v>
      </c>
      <c r="D65" s="26" t="s">
        <v>455</v>
      </c>
      <c r="E65" s="26" t="n">
        <v>3</v>
      </c>
      <c r="F65" s="26" t="n">
        <v>64</v>
      </c>
      <c r="G65" s="26" t="n">
        <v>-54</v>
      </c>
      <c r="H65" s="26" t="s">
        <v>459</v>
      </c>
      <c r="I65" s="28" t="n">
        <v>46309.3354166667</v>
      </c>
      <c r="J65" s="27" t="b">
        <f aca="false">TRUE()</f>
        <v>1</v>
      </c>
      <c r="K65" s="26"/>
      <c r="L65" s="28" t="n">
        <v>46032.375</v>
      </c>
      <c r="M65" s="28" t="n">
        <v>46309.3333333333</v>
      </c>
    </row>
    <row r="66" customFormat="false" ht="15" hidden="false" customHeight="false" outlineLevel="0" collapsed="false">
      <c r="A66" s="23" t="n">
        <v>604</v>
      </c>
      <c r="B66" s="23" t="n">
        <v>6</v>
      </c>
      <c r="C66" s="23" t="s">
        <v>486</v>
      </c>
      <c r="D66" s="23" t="s">
        <v>455</v>
      </c>
      <c r="E66" s="23" t="n">
        <v>4</v>
      </c>
      <c r="F66" s="23" t="n">
        <v>57</v>
      </c>
      <c r="G66" s="23" t="n">
        <v>-57</v>
      </c>
      <c r="H66" s="23" t="s">
        <v>456</v>
      </c>
      <c r="I66" s="25" t="n">
        <v>46309.3361111111</v>
      </c>
      <c r="J66" s="24" t="b">
        <f aca="false">TRUE()</f>
        <v>1</v>
      </c>
      <c r="K66" s="23"/>
      <c r="L66" s="25" t="n">
        <v>46032.375</v>
      </c>
      <c r="M66" s="25" t="n">
        <v>46309.3333333333</v>
      </c>
    </row>
    <row r="67" customFormat="false" ht="15" hidden="false" customHeight="false" outlineLevel="0" collapsed="false">
      <c r="A67" s="26" t="n">
        <v>701</v>
      </c>
      <c r="B67" s="26" t="n">
        <v>7</v>
      </c>
      <c r="C67" s="26" t="s">
        <v>487</v>
      </c>
      <c r="D67" s="26" t="s">
        <v>458</v>
      </c>
      <c r="E67" s="26" t="n">
        <v>1</v>
      </c>
      <c r="F67" s="26" t="n">
        <v>98</v>
      </c>
      <c r="G67" s="26" t="n">
        <v>-48</v>
      </c>
      <c r="H67" s="26" t="s">
        <v>456</v>
      </c>
      <c r="I67" s="28" t="n">
        <v>46309.3340277778</v>
      </c>
      <c r="J67" s="27" t="b">
        <f aca="false">TRUE()</f>
        <v>1</v>
      </c>
      <c r="K67" s="26"/>
      <c r="L67" s="28" t="n">
        <v>46032.375</v>
      </c>
      <c r="M67" s="28" t="n">
        <v>46309.3333333333</v>
      </c>
    </row>
    <row r="68" customFormat="false" ht="15" hidden="false" customHeight="false" outlineLevel="0" collapsed="false">
      <c r="A68" s="23" t="n">
        <v>702</v>
      </c>
      <c r="B68" s="23" t="n">
        <v>7</v>
      </c>
      <c r="C68" s="23" t="s">
        <v>488</v>
      </c>
      <c r="D68" s="23" t="s">
        <v>455</v>
      </c>
      <c r="E68" s="23" t="n">
        <v>2</v>
      </c>
      <c r="F68" s="23" t="n">
        <v>91</v>
      </c>
      <c r="G68" s="23" t="n">
        <v>-51</v>
      </c>
      <c r="H68" s="23" t="s">
        <v>459</v>
      </c>
      <c r="I68" s="25" t="n">
        <v>46309.3347222222</v>
      </c>
      <c r="J68" s="24" t="b">
        <f aca="false">TRUE()</f>
        <v>1</v>
      </c>
      <c r="K68" s="23"/>
      <c r="L68" s="25" t="n">
        <v>46032.375</v>
      </c>
      <c r="M68" s="25" t="n">
        <v>46309.3333333333</v>
      </c>
    </row>
    <row r="69" customFormat="false" ht="15" hidden="false" customHeight="false" outlineLevel="0" collapsed="false">
      <c r="A69" s="26" t="n">
        <v>703</v>
      </c>
      <c r="B69" s="26" t="n">
        <v>7</v>
      </c>
      <c r="C69" s="26" t="s">
        <v>489</v>
      </c>
      <c r="D69" s="26" t="s">
        <v>455</v>
      </c>
      <c r="E69" s="26" t="n">
        <v>3</v>
      </c>
      <c r="F69" s="26" t="n">
        <v>84</v>
      </c>
      <c r="G69" s="26" t="n">
        <v>-54</v>
      </c>
      <c r="H69" s="26" t="s">
        <v>456</v>
      </c>
      <c r="I69" s="28" t="n">
        <v>46309.3354166667</v>
      </c>
      <c r="J69" s="27" t="b">
        <f aca="false">TRUE()</f>
        <v>1</v>
      </c>
      <c r="K69" s="26"/>
      <c r="L69" s="28" t="n">
        <v>46032.375</v>
      </c>
      <c r="M69" s="28" t="n">
        <v>46309.3333333333</v>
      </c>
    </row>
    <row r="70" customFormat="false" ht="15" hidden="false" customHeight="false" outlineLevel="0" collapsed="false">
      <c r="A70" s="23" t="n">
        <v>704</v>
      </c>
      <c r="B70" s="23" t="n">
        <v>7</v>
      </c>
      <c r="C70" s="23" t="s">
        <v>490</v>
      </c>
      <c r="D70" s="23" t="s">
        <v>389</v>
      </c>
      <c r="E70" s="23" t="n">
        <v>4</v>
      </c>
      <c r="F70" s="23" t="n">
        <v>77</v>
      </c>
      <c r="G70" s="23" t="n">
        <v>-70</v>
      </c>
      <c r="H70" s="23" t="s">
        <v>456</v>
      </c>
      <c r="I70" s="25" t="n">
        <v>46309.3361111111</v>
      </c>
      <c r="J70" s="24" t="b">
        <f aca="false">TRUE()</f>
        <v>1</v>
      </c>
      <c r="K70" s="23" t="s">
        <v>491</v>
      </c>
      <c r="L70" s="25" t="n">
        <v>46032.375</v>
      </c>
      <c r="M70" s="25" t="n">
        <v>46309.3333333333</v>
      </c>
    </row>
    <row r="71" customFormat="false" ht="15" hidden="false" customHeight="false" outlineLevel="0" collapsed="false">
      <c r="A71" s="26" t="n">
        <v>801</v>
      </c>
      <c r="B71" s="26" t="n">
        <v>8</v>
      </c>
      <c r="C71" s="26" t="s">
        <v>492</v>
      </c>
      <c r="D71" s="26" t="s">
        <v>455</v>
      </c>
      <c r="E71" s="26" t="n">
        <v>1</v>
      </c>
      <c r="F71" s="26" t="n">
        <v>73</v>
      </c>
      <c r="G71" s="26" t="n">
        <v>-48</v>
      </c>
      <c r="H71" s="26" t="s">
        <v>459</v>
      </c>
      <c r="I71" s="28" t="n">
        <v>46309.3340277778</v>
      </c>
      <c r="J71" s="27" t="b">
        <f aca="false">TRUE()</f>
        <v>1</v>
      </c>
      <c r="K71" s="26"/>
      <c r="L71" s="28" t="n">
        <v>46032.375</v>
      </c>
      <c r="M71" s="28" t="n">
        <v>46309.3333333333</v>
      </c>
    </row>
    <row r="72" customFormat="false" ht="15" hidden="false" customHeight="false" outlineLevel="0" collapsed="false">
      <c r="A72" s="23" t="n">
        <v>802</v>
      </c>
      <c r="B72" s="23" t="n">
        <v>8</v>
      </c>
      <c r="C72" s="23" t="s">
        <v>493</v>
      </c>
      <c r="D72" s="23" t="s">
        <v>458</v>
      </c>
      <c r="E72" s="23" t="n">
        <v>2</v>
      </c>
      <c r="F72" s="23" t="n">
        <v>66</v>
      </c>
      <c r="G72" s="23" t="n">
        <v>-51</v>
      </c>
      <c r="H72" s="23" t="s">
        <v>456</v>
      </c>
      <c r="I72" s="25" t="n">
        <v>46309.3347222222</v>
      </c>
      <c r="J72" s="24" t="b">
        <f aca="false">TRUE()</f>
        <v>1</v>
      </c>
      <c r="K72" s="23"/>
      <c r="L72" s="25" t="n">
        <v>46032.375</v>
      </c>
      <c r="M72" s="25" t="n">
        <v>46309.3333333333</v>
      </c>
    </row>
    <row r="73" customFormat="false" ht="15" hidden="false" customHeight="false" outlineLevel="0" collapsed="false">
      <c r="A73" s="26" t="n">
        <v>803</v>
      </c>
      <c r="B73" s="26" t="n">
        <v>8</v>
      </c>
      <c r="C73" s="26" t="s">
        <v>494</v>
      </c>
      <c r="D73" s="26" t="s">
        <v>455</v>
      </c>
      <c r="E73" s="26" t="n">
        <v>3</v>
      </c>
      <c r="F73" s="26" t="n">
        <v>59</v>
      </c>
      <c r="G73" s="26" t="n">
        <v>-54</v>
      </c>
      <c r="H73" s="26" t="s">
        <v>456</v>
      </c>
      <c r="I73" s="28" t="n">
        <v>46309.3354166667</v>
      </c>
      <c r="J73" s="27" t="b">
        <f aca="false">TRUE()</f>
        <v>1</v>
      </c>
      <c r="K73" s="26"/>
      <c r="L73" s="28" t="n">
        <v>46032.375</v>
      </c>
      <c r="M73" s="28" t="n">
        <v>46309.3333333333</v>
      </c>
    </row>
    <row r="74" customFormat="false" ht="15" hidden="false" customHeight="false" outlineLevel="0" collapsed="false">
      <c r="A74" s="23" t="n">
        <v>804</v>
      </c>
      <c r="B74" s="23" t="n">
        <v>8</v>
      </c>
      <c r="C74" s="23" t="s">
        <v>495</v>
      </c>
      <c r="D74" s="23" t="s">
        <v>455</v>
      </c>
      <c r="E74" s="23" t="n">
        <v>4</v>
      </c>
      <c r="F74" s="23" t="n">
        <v>97</v>
      </c>
      <c r="G74" s="23" t="n">
        <v>-57</v>
      </c>
      <c r="H74" s="23" t="s">
        <v>459</v>
      </c>
      <c r="I74" s="25" t="n">
        <v>46309.3361111111</v>
      </c>
      <c r="J74" s="24" t="b">
        <f aca="false">TRUE()</f>
        <v>1</v>
      </c>
      <c r="K74" s="23"/>
      <c r="L74" s="25" t="n">
        <v>46032.375</v>
      </c>
      <c r="M74" s="25" t="n">
        <v>46309.3333333333</v>
      </c>
    </row>
    <row r="75" customFormat="false" ht="15" hidden="false" customHeight="false" outlineLevel="0" collapsed="false">
      <c r="A75" s="26" t="n">
        <v>901</v>
      </c>
      <c r="B75" s="26" t="n">
        <v>9</v>
      </c>
      <c r="C75" s="26" t="s">
        <v>496</v>
      </c>
      <c r="D75" s="26" t="s">
        <v>458</v>
      </c>
      <c r="E75" s="26" t="n">
        <v>1</v>
      </c>
      <c r="F75" s="26" t="n">
        <v>93</v>
      </c>
      <c r="G75" s="26" t="n">
        <v>-48</v>
      </c>
      <c r="H75" s="26" t="s">
        <v>456</v>
      </c>
      <c r="I75" s="28" t="n">
        <v>46309.3340277778</v>
      </c>
      <c r="J75" s="27" t="b">
        <f aca="false">TRUE()</f>
        <v>1</v>
      </c>
      <c r="K75" s="26"/>
      <c r="L75" s="28" t="n">
        <v>46032.375</v>
      </c>
      <c r="M75" s="28" t="n">
        <v>46309.3333333333</v>
      </c>
    </row>
    <row r="76" customFormat="false" ht="15" hidden="false" customHeight="false" outlineLevel="0" collapsed="false">
      <c r="A76" s="23" t="n">
        <v>902</v>
      </c>
      <c r="B76" s="23" t="n">
        <v>9</v>
      </c>
      <c r="C76" s="23" t="s">
        <v>497</v>
      </c>
      <c r="D76" s="23" t="s">
        <v>455</v>
      </c>
      <c r="E76" s="23" t="n">
        <v>2</v>
      </c>
      <c r="F76" s="23" t="n">
        <v>86</v>
      </c>
      <c r="G76" s="23" t="n">
        <v>-51</v>
      </c>
      <c r="H76" s="23" t="s">
        <v>456</v>
      </c>
      <c r="I76" s="25" t="n">
        <v>46309.3347222222</v>
      </c>
      <c r="J76" s="24" t="b">
        <f aca="false">TRUE()</f>
        <v>1</v>
      </c>
      <c r="K76" s="23"/>
      <c r="L76" s="25" t="n">
        <v>46032.375</v>
      </c>
      <c r="M76" s="25" t="n">
        <v>46309.3333333333</v>
      </c>
    </row>
    <row r="77" customFormat="false" ht="15" hidden="false" customHeight="false" outlineLevel="0" collapsed="false">
      <c r="A77" s="26" t="n">
        <v>903</v>
      </c>
      <c r="B77" s="26" t="n">
        <v>9</v>
      </c>
      <c r="C77" s="26" t="s">
        <v>498</v>
      </c>
      <c r="D77" s="26" t="s">
        <v>455</v>
      </c>
      <c r="E77" s="26" t="n">
        <v>3</v>
      </c>
      <c r="F77" s="26" t="n">
        <v>79</v>
      </c>
      <c r="G77" s="26" t="n">
        <v>-54</v>
      </c>
      <c r="H77" s="26" t="s">
        <v>459</v>
      </c>
      <c r="I77" s="28" t="n">
        <v>46309.3354166667</v>
      </c>
      <c r="J77" s="27" t="b">
        <f aca="false">TRUE()</f>
        <v>1</v>
      </c>
      <c r="K77" s="26"/>
      <c r="L77" s="28" t="n">
        <v>46032.375</v>
      </c>
      <c r="M77" s="28" t="n">
        <v>46309.3333333333</v>
      </c>
    </row>
    <row r="78" customFormat="false" ht="15" hidden="false" customHeight="false" outlineLevel="0" collapsed="false">
      <c r="A78" s="23" t="n">
        <v>1001</v>
      </c>
      <c r="B78" s="23" t="n">
        <v>10</v>
      </c>
      <c r="C78" s="23" t="s">
        <v>499</v>
      </c>
      <c r="D78" s="23" t="s">
        <v>455</v>
      </c>
      <c r="E78" s="23" t="n">
        <v>1</v>
      </c>
      <c r="F78" s="23" t="n">
        <v>68</v>
      </c>
      <c r="G78" s="23" t="n">
        <v>-48</v>
      </c>
      <c r="H78" s="23" t="s">
        <v>456</v>
      </c>
      <c r="I78" s="25" t="n">
        <v>46309.3340277778</v>
      </c>
      <c r="J78" s="24" t="b">
        <f aca="false">TRUE()</f>
        <v>1</v>
      </c>
      <c r="K78" s="23"/>
      <c r="L78" s="25" t="n">
        <v>46032.375</v>
      </c>
      <c r="M78" s="25" t="n">
        <v>46309.3333333333</v>
      </c>
    </row>
    <row r="79" customFormat="false" ht="15" hidden="false" customHeight="false" outlineLevel="0" collapsed="false">
      <c r="A79" s="26" t="n">
        <v>1002</v>
      </c>
      <c r="B79" s="26" t="n">
        <v>10</v>
      </c>
      <c r="C79" s="26" t="s">
        <v>500</v>
      </c>
      <c r="D79" s="26" t="s">
        <v>458</v>
      </c>
      <c r="E79" s="26" t="n">
        <v>2</v>
      </c>
      <c r="F79" s="26" t="n">
        <v>61</v>
      </c>
      <c r="G79" s="26" t="n">
        <v>-51</v>
      </c>
      <c r="H79" s="26" t="s">
        <v>459</v>
      </c>
      <c r="I79" s="28" t="n">
        <v>46309.3347222222</v>
      </c>
      <c r="J79" s="27" t="b">
        <f aca="false">TRUE()</f>
        <v>1</v>
      </c>
      <c r="K79" s="26"/>
      <c r="L79" s="28" t="n">
        <v>46032.375</v>
      </c>
      <c r="M79" s="28" t="n">
        <v>46309.3333333333</v>
      </c>
    </row>
    <row r="80" customFormat="false" ht="15" hidden="false" customHeight="false" outlineLevel="0" collapsed="false">
      <c r="A80" s="23" t="n">
        <v>1003</v>
      </c>
      <c r="B80" s="23" t="n">
        <v>10</v>
      </c>
      <c r="C80" s="23" t="s">
        <v>501</v>
      </c>
      <c r="D80" s="23" t="s">
        <v>455</v>
      </c>
      <c r="E80" s="23" t="n">
        <v>3</v>
      </c>
      <c r="F80" s="23" t="n">
        <v>99</v>
      </c>
      <c r="G80" s="23" t="n">
        <v>-54</v>
      </c>
      <c r="H80" s="23" t="s">
        <v>456</v>
      </c>
      <c r="I80" s="25" t="n">
        <v>46309.3354166667</v>
      </c>
      <c r="J80" s="24" t="b">
        <f aca="false">TRUE()</f>
        <v>1</v>
      </c>
      <c r="K80" s="23"/>
      <c r="L80" s="25" t="n">
        <v>46032.375</v>
      </c>
      <c r="M80" s="25" t="n">
        <v>46309.3333333333</v>
      </c>
    </row>
  </sheetData>
  <mergeCells count="7">
    <mergeCell ref="C30:E30"/>
    <mergeCell ref="C31:E31"/>
    <mergeCell ref="C32:E32"/>
    <mergeCell ref="C33:E33"/>
    <mergeCell ref="C34:E34"/>
    <mergeCell ref="C37:E37"/>
    <mergeCell ref="C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L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6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2" min="10" style="0" width="22"/>
  </cols>
  <sheetData>
    <row r="1" customFormat="false" ht="19.7" hidden="false" customHeight="false" outlineLevel="0" collapsed="false">
      <c r="A1" s="16" t="s">
        <v>502</v>
      </c>
    </row>
    <row r="2" customFormat="false" ht="15" hidden="false" customHeight="false" outlineLevel="0" collapsed="false">
      <c r="A2" s="17" t="s">
        <v>61</v>
      </c>
    </row>
    <row r="3" customFormat="false" ht="15" hidden="false" customHeight="false" outlineLevel="0" collapsed="false">
      <c r="A3" s="18" t="s">
        <v>503</v>
      </c>
    </row>
    <row r="4" customFormat="false" ht="15" hidden="false" customHeight="false" outlineLevel="0" collapsed="false">
      <c r="A4" s="19" t="str">
        <f aca="false">HYPERLINK("#Tables!A1","&lt;&lt; Back to Tables index")</f>
        <v>&lt;&lt; Back to Tables index</v>
      </c>
    </row>
    <row r="6" customFormat="false" ht="19.5" hidden="false" customHeight="true" outlineLevel="0" collapsed="false">
      <c r="A6" s="20" t="s">
        <v>137</v>
      </c>
      <c r="B6" s="21"/>
      <c r="C6" s="21"/>
      <c r="D6" s="21"/>
      <c r="E6" s="21"/>
      <c r="F6" s="21"/>
    </row>
    <row r="7" customFormat="false" ht="15" hidden="false" customHeight="false" outlineLevel="0" collapsed="false">
      <c r="A7" s="9" t="s">
        <v>138</v>
      </c>
      <c r="B7" s="9" t="s">
        <v>139</v>
      </c>
      <c r="C7" s="9" t="s">
        <v>140</v>
      </c>
      <c r="D7" s="9" t="s">
        <v>141</v>
      </c>
      <c r="E7" s="9" t="s">
        <v>142</v>
      </c>
      <c r="F7" s="9" t="s">
        <v>143</v>
      </c>
    </row>
    <row r="8" customFormat="false" ht="15" hidden="false" customHeight="false" outlineLevel="0" collapsed="false">
      <c r="A8" s="11" t="s">
        <v>53</v>
      </c>
      <c r="B8" s="11" t="s">
        <v>144</v>
      </c>
      <c r="C8" s="11" t="s">
        <v>145</v>
      </c>
      <c r="D8" s="11" t="s">
        <v>146</v>
      </c>
      <c r="E8" s="22" t="s">
        <v>147</v>
      </c>
      <c r="F8" s="11" t="s">
        <v>504</v>
      </c>
    </row>
    <row r="9" customFormat="false" ht="15" hidden="false" customHeight="false" outlineLevel="0" collapsed="false">
      <c r="A9" s="14" t="s">
        <v>91</v>
      </c>
      <c r="B9" s="14" t="s">
        <v>216</v>
      </c>
      <c r="C9" s="14" t="s">
        <v>145</v>
      </c>
      <c r="D9" s="14"/>
      <c r="E9" s="29" t="s">
        <v>217</v>
      </c>
      <c r="F9" s="14" t="s">
        <v>505</v>
      </c>
    </row>
    <row r="10" customFormat="false" ht="15" hidden="false" customHeight="false" outlineLevel="0" collapsed="false">
      <c r="A10" s="11" t="s">
        <v>101</v>
      </c>
      <c r="B10" s="11" t="s">
        <v>216</v>
      </c>
      <c r="C10" s="11" t="s">
        <v>222</v>
      </c>
      <c r="D10" s="11"/>
      <c r="E10" s="29" t="s">
        <v>293</v>
      </c>
      <c r="F10" s="11" t="s">
        <v>506</v>
      </c>
    </row>
    <row r="11" customFormat="false" ht="15" hidden="false" customHeight="false" outlineLevel="0" collapsed="false">
      <c r="A11" s="14" t="s">
        <v>154</v>
      </c>
      <c r="B11" s="14" t="s">
        <v>155</v>
      </c>
      <c r="C11" s="14" t="s">
        <v>145</v>
      </c>
      <c r="D11" s="14"/>
      <c r="E11" s="14"/>
      <c r="F11" s="14" t="s">
        <v>507</v>
      </c>
    </row>
    <row r="12" customFormat="false" ht="15" hidden="false" customHeight="false" outlineLevel="0" collapsed="false">
      <c r="A12" s="11" t="s">
        <v>508</v>
      </c>
      <c r="B12" s="11" t="s">
        <v>509</v>
      </c>
      <c r="C12" s="11" t="s">
        <v>145</v>
      </c>
      <c r="D12" s="11"/>
      <c r="E12" s="11" t="s">
        <v>152</v>
      </c>
      <c r="F12" s="11" t="s">
        <v>510</v>
      </c>
    </row>
    <row r="13" customFormat="false" ht="15" hidden="false" customHeight="false" outlineLevel="0" collapsed="false">
      <c r="A13" s="14" t="s">
        <v>511</v>
      </c>
      <c r="B13" s="14" t="s">
        <v>509</v>
      </c>
      <c r="C13" s="14" t="s">
        <v>145</v>
      </c>
      <c r="D13" s="14"/>
      <c r="E13" s="14"/>
      <c r="F13" s="14" t="s">
        <v>512</v>
      </c>
    </row>
    <row r="14" customFormat="false" ht="15" hidden="false" customHeight="false" outlineLevel="0" collapsed="false">
      <c r="A14" s="11" t="s">
        <v>513</v>
      </c>
      <c r="B14" s="11" t="s">
        <v>430</v>
      </c>
      <c r="C14" s="11" t="s">
        <v>145</v>
      </c>
      <c r="D14" s="11" t="s">
        <v>514</v>
      </c>
      <c r="E14" s="11" t="s">
        <v>355</v>
      </c>
      <c r="F14" s="11" t="s">
        <v>515</v>
      </c>
    </row>
    <row r="15" customFormat="false" ht="15" hidden="false" customHeight="false" outlineLevel="0" collapsed="false">
      <c r="A15" s="14" t="s">
        <v>516</v>
      </c>
      <c r="B15" s="14" t="s">
        <v>255</v>
      </c>
      <c r="C15" s="14" t="s">
        <v>222</v>
      </c>
      <c r="D15" s="14"/>
      <c r="E15" s="14"/>
      <c r="F15" s="14" t="s">
        <v>517</v>
      </c>
    </row>
    <row r="16" customFormat="false" ht="15" hidden="false" customHeight="false" outlineLevel="0" collapsed="false">
      <c r="A16" s="11" t="s">
        <v>164</v>
      </c>
      <c r="B16" s="11" t="s">
        <v>165</v>
      </c>
      <c r="C16" s="11" t="s">
        <v>145</v>
      </c>
      <c r="D16" s="11" t="s">
        <v>166</v>
      </c>
      <c r="E16" s="11"/>
      <c r="F16" s="11" t="s">
        <v>518</v>
      </c>
    </row>
    <row r="17" customFormat="false" ht="15" hidden="false" customHeight="false" outlineLevel="0" collapsed="false">
      <c r="A17" s="14" t="s">
        <v>519</v>
      </c>
      <c r="B17" s="14" t="s">
        <v>169</v>
      </c>
      <c r="C17" s="14" t="s">
        <v>222</v>
      </c>
      <c r="D17" s="14"/>
      <c r="E17" s="14"/>
      <c r="F17" s="14" t="s">
        <v>520</v>
      </c>
    </row>
    <row r="18" customFormat="false" ht="15" hidden="false" customHeight="false" outlineLevel="0" collapsed="false">
      <c r="A18" s="11" t="s">
        <v>168</v>
      </c>
      <c r="B18" s="11" t="s">
        <v>169</v>
      </c>
      <c r="C18" s="11" t="s">
        <v>145</v>
      </c>
      <c r="D18" s="11" t="s">
        <v>170</v>
      </c>
      <c r="E18" s="11"/>
      <c r="F18" s="11" t="s">
        <v>171</v>
      </c>
    </row>
    <row r="19" customFormat="false" ht="15" hidden="false" customHeight="false" outlineLevel="0" collapsed="false">
      <c r="A19" s="14" t="s">
        <v>172</v>
      </c>
      <c r="B19" s="14" t="s">
        <v>169</v>
      </c>
      <c r="C19" s="14" t="s">
        <v>145</v>
      </c>
      <c r="D19" s="14" t="s">
        <v>170</v>
      </c>
      <c r="E19" s="14"/>
      <c r="F19" s="14" t="s">
        <v>173</v>
      </c>
    </row>
    <row r="21" customFormat="false" ht="19.5" hidden="false" customHeight="true" outlineLevel="0" collapsed="false">
      <c r="A21" s="20" t="s">
        <v>174</v>
      </c>
      <c r="B21" s="21"/>
      <c r="C21" s="21"/>
      <c r="D21" s="21"/>
      <c r="E21" s="21"/>
      <c r="F21" s="21"/>
    </row>
    <row r="22" customFormat="false" ht="15" hidden="false" customHeight="false" outlineLevel="0" collapsed="false">
      <c r="A22" s="9" t="s">
        <v>175</v>
      </c>
      <c r="B22" s="9" t="s">
        <v>176</v>
      </c>
      <c r="C22" s="9" t="s">
        <v>177</v>
      </c>
      <c r="D22" s="9" t="s">
        <v>178</v>
      </c>
      <c r="E22" s="9" t="s">
        <v>86</v>
      </c>
      <c r="F22" s="9" t="s">
        <v>179</v>
      </c>
    </row>
    <row r="23" customFormat="false" ht="15" hidden="false" customHeight="false" outlineLevel="0" collapsed="false">
      <c r="A23" s="11" t="s">
        <v>229</v>
      </c>
      <c r="B23" s="11" t="s">
        <v>91</v>
      </c>
      <c r="C23" s="11" t="s">
        <v>14</v>
      </c>
      <c r="D23" s="11" t="s">
        <v>53</v>
      </c>
      <c r="E23" s="11" t="s">
        <v>92</v>
      </c>
      <c r="F23" s="11" t="s">
        <v>183</v>
      </c>
    </row>
    <row r="24" customFormat="false" ht="23.85" hidden="false" customHeight="false" outlineLevel="0" collapsed="false">
      <c r="A24" s="14" t="s">
        <v>229</v>
      </c>
      <c r="B24" s="14" t="s">
        <v>101</v>
      </c>
      <c r="C24" s="14" t="s">
        <v>96</v>
      </c>
      <c r="D24" s="14" t="s">
        <v>53</v>
      </c>
      <c r="E24" s="14" t="s">
        <v>110</v>
      </c>
      <c r="F24" s="14" t="s">
        <v>265</v>
      </c>
    </row>
    <row r="25" customFormat="false" ht="23.85" hidden="false" customHeight="false" outlineLevel="0" collapsed="false">
      <c r="A25" s="11" t="s">
        <v>180</v>
      </c>
      <c r="B25" s="11" t="s">
        <v>53</v>
      </c>
      <c r="C25" s="11" t="s">
        <v>113</v>
      </c>
      <c r="D25" s="11" t="s">
        <v>119</v>
      </c>
      <c r="E25" s="11" t="s">
        <v>110</v>
      </c>
      <c r="F25" s="11" t="s">
        <v>521</v>
      </c>
    </row>
    <row r="26" customFormat="false" ht="15" hidden="false" customHeight="false" outlineLevel="0" collapsed="false">
      <c r="A26" s="14" t="s">
        <v>180</v>
      </c>
      <c r="B26" s="14" t="s">
        <v>53</v>
      </c>
      <c r="C26" s="14" t="s">
        <v>121</v>
      </c>
      <c r="D26" s="14" t="s">
        <v>123</v>
      </c>
      <c r="E26" s="14" t="s">
        <v>110</v>
      </c>
      <c r="F26" s="14" t="s">
        <v>522</v>
      </c>
    </row>
    <row r="27" customFormat="false" ht="15" hidden="false" customHeight="false" outlineLevel="0" collapsed="false">
      <c r="A27" s="11" t="s">
        <v>180</v>
      </c>
      <c r="B27" s="11" t="s">
        <v>53</v>
      </c>
      <c r="C27" s="11" t="s">
        <v>121</v>
      </c>
      <c r="D27" s="11" t="s">
        <v>125</v>
      </c>
      <c r="E27" s="11" t="s">
        <v>110</v>
      </c>
      <c r="F27" s="11" t="s">
        <v>523</v>
      </c>
    </row>
    <row r="28" customFormat="false" ht="23.85" hidden="false" customHeight="false" outlineLevel="0" collapsed="false">
      <c r="A28" s="14" t="s">
        <v>180</v>
      </c>
      <c r="B28" s="14" t="s">
        <v>53</v>
      </c>
      <c r="C28" s="14" t="s">
        <v>127</v>
      </c>
      <c r="D28" s="14" t="s">
        <v>133</v>
      </c>
      <c r="E28" s="14" t="s">
        <v>128</v>
      </c>
      <c r="F28" s="14" t="s">
        <v>524</v>
      </c>
    </row>
    <row r="30" customFormat="false" ht="19.5" hidden="false" customHeight="true" outlineLevel="0" collapsed="false">
      <c r="A30" s="20" t="s">
        <v>184</v>
      </c>
      <c r="B30" s="21"/>
      <c r="C30" s="21"/>
      <c r="D30" s="21"/>
      <c r="E30" s="21"/>
      <c r="F30" s="21"/>
    </row>
    <row r="31" customFormat="false" ht="15" hidden="false" customHeight="true" outlineLevel="0" collapsed="false">
      <c r="A31" s="9" t="s">
        <v>185</v>
      </c>
      <c r="B31" s="9" t="s">
        <v>42</v>
      </c>
      <c r="C31" s="9" t="s">
        <v>186</v>
      </c>
      <c r="D31" s="9"/>
      <c r="E31" s="9"/>
      <c r="F31" s="9" t="s">
        <v>43</v>
      </c>
    </row>
    <row r="32" customFormat="false" ht="15" hidden="false" customHeight="true" outlineLevel="0" collapsed="false">
      <c r="A32" s="11" t="s">
        <v>525</v>
      </c>
      <c r="B32" s="11" t="s">
        <v>188</v>
      </c>
      <c r="C32" s="11" t="s">
        <v>189</v>
      </c>
      <c r="D32" s="11"/>
      <c r="E32" s="11"/>
      <c r="F32" s="11" t="s">
        <v>190</v>
      </c>
    </row>
    <row r="33" customFormat="false" ht="15" hidden="false" customHeight="true" outlineLevel="0" collapsed="false">
      <c r="A33" s="14" t="s">
        <v>526</v>
      </c>
      <c r="B33" s="14" t="s">
        <v>192</v>
      </c>
      <c r="C33" s="14" t="s">
        <v>508</v>
      </c>
      <c r="D33" s="14"/>
      <c r="E33" s="14"/>
      <c r="F33" s="14" t="s">
        <v>527</v>
      </c>
    </row>
    <row r="34" customFormat="false" ht="30" hidden="false" customHeight="true" outlineLevel="0" collapsed="false">
      <c r="A34" s="11" t="s">
        <v>528</v>
      </c>
      <c r="B34" s="11" t="s">
        <v>355</v>
      </c>
      <c r="C34" s="11" t="s">
        <v>529</v>
      </c>
      <c r="D34" s="11"/>
      <c r="E34" s="11"/>
      <c r="F34" s="11" t="s">
        <v>530</v>
      </c>
    </row>
    <row r="36" customFormat="false" ht="19.5" hidden="false" customHeight="true" outlineLevel="0" collapsed="false">
      <c r="A36" s="20" t="s">
        <v>196</v>
      </c>
      <c r="B36" s="21"/>
      <c r="C36" s="21"/>
      <c r="D36" s="21"/>
      <c r="E36" s="21"/>
      <c r="F36" s="21"/>
    </row>
    <row r="37" customFormat="false" ht="15" hidden="false" customHeight="true" outlineLevel="0" collapsed="false">
      <c r="A37" s="9" t="s">
        <v>197</v>
      </c>
      <c r="B37" s="9" t="s">
        <v>42</v>
      </c>
      <c r="C37" s="9" t="s">
        <v>198</v>
      </c>
      <c r="D37" s="9"/>
      <c r="E37" s="9"/>
      <c r="F37" s="9" t="s">
        <v>43</v>
      </c>
    </row>
    <row r="38" customFormat="false" ht="15" hidden="false" customHeight="true" outlineLevel="0" collapsed="false">
      <c r="A38" s="11" t="s">
        <v>531</v>
      </c>
      <c r="B38" s="11" t="s">
        <v>367</v>
      </c>
      <c r="C38" s="11" t="s">
        <v>532</v>
      </c>
      <c r="D38" s="11"/>
      <c r="E38" s="11"/>
      <c r="F38" s="11" t="s">
        <v>533</v>
      </c>
    </row>
    <row r="39" customFormat="false" ht="15" hidden="false" customHeight="true" outlineLevel="0" collapsed="false">
      <c r="A39" s="14" t="s">
        <v>534</v>
      </c>
      <c r="B39" s="14" t="s">
        <v>367</v>
      </c>
      <c r="C39" s="14" t="s">
        <v>535</v>
      </c>
      <c r="D39" s="14"/>
      <c r="E39" s="14"/>
      <c r="F39" s="14" t="s">
        <v>536</v>
      </c>
    </row>
    <row r="41" customFormat="false" ht="19.5" hidden="false" customHeight="true" outlineLevel="0" collapsed="false">
      <c r="A41" s="20" t="s">
        <v>537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customFormat="false" ht="15" hidden="false" customHeight="false" outlineLevel="0" collapsed="false">
      <c r="A42" s="9" t="s">
        <v>53</v>
      </c>
      <c r="B42" s="9" t="s">
        <v>91</v>
      </c>
      <c r="C42" s="9" t="s">
        <v>101</v>
      </c>
      <c r="D42" s="9" t="s">
        <v>154</v>
      </c>
      <c r="E42" s="9" t="s">
        <v>508</v>
      </c>
      <c r="F42" s="9" t="s">
        <v>511</v>
      </c>
      <c r="G42" s="9" t="s">
        <v>513</v>
      </c>
      <c r="H42" s="9" t="s">
        <v>516</v>
      </c>
      <c r="I42" s="9" t="s">
        <v>164</v>
      </c>
      <c r="J42" s="9" t="s">
        <v>519</v>
      </c>
      <c r="K42" s="9" t="s">
        <v>168</v>
      </c>
      <c r="L42" s="9" t="s">
        <v>172</v>
      </c>
    </row>
    <row r="43" customFormat="false" ht="15" hidden="false" customHeight="false" outlineLevel="0" collapsed="false">
      <c r="A43" s="23" t="n">
        <v>1</v>
      </c>
      <c r="B43" s="23" t="n">
        <v>1</v>
      </c>
      <c r="C43" s="23" t="n">
        <v>1</v>
      </c>
      <c r="D43" s="23" t="s">
        <v>538</v>
      </c>
      <c r="E43" s="23" t="s">
        <v>539</v>
      </c>
      <c r="F43" s="23" t="s">
        <v>540</v>
      </c>
      <c r="G43" s="23" t="s">
        <v>541</v>
      </c>
      <c r="H43" s="23" t="s">
        <v>542</v>
      </c>
      <c r="I43" s="24" t="b">
        <f aca="false">TRUE()</f>
        <v>1</v>
      </c>
      <c r="J43" s="25" t="n">
        <v>46309.3298611111</v>
      </c>
      <c r="K43" s="25" t="n">
        <v>46032.375</v>
      </c>
      <c r="L43" s="25" t="n">
        <v>46309.3333333333</v>
      </c>
    </row>
    <row r="44" customFormat="false" ht="15" hidden="false" customHeight="false" outlineLevel="0" collapsed="false">
      <c r="A44" s="26" t="n">
        <v>2</v>
      </c>
      <c r="B44" s="26" t="n">
        <v>1</v>
      </c>
      <c r="C44" s="26" t="n">
        <v>1</v>
      </c>
      <c r="D44" s="26" t="s">
        <v>543</v>
      </c>
      <c r="E44" s="26" t="s">
        <v>544</v>
      </c>
      <c r="F44" s="26" t="s">
        <v>545</v>
      </c>
      <c r="G44" s="26" t="s">
        <v>546</v>
      </c>
      <c r="H44" s="26" t="s">
        <v>547</v>
      </c>
      <c r="I44" s="27" t="b">
        <f aca="false">TRUE()</f>
        <v>1</v>
      </c>
      <c r="J44" s="28" t="n">
        <v>46309.3125</v>
      </c>
      <c r="K44" s="28" t="n">
        <v>46032.375</v>
      </c>
      <c r="L44" s="28" t="n">
        <v>46309.3333333333</v>
      </c>
    </row>
    <row r="45" customFormat="false" ht="15" hidden="false" customHeight="false" outlineLevel="0" collapsed="false">
      <c r="A45" s="23" t="n">
        <v>3</v>
      </c>
      <c r="B45" s="23" t="n">
        <v>1</v>
      </c>
      <c r="C45" s="23" t="n">
        <v>1</v>
      </c>
      <c r="D45" s="23" t="s">
        <v>548</v>
      </c>
      <c r="E45" s="23" t="s">
        <v>549</v>
      </c>
      <c r="F45" s="23" t="s">
        <v>550</v>
      </c>
      <c r="G45" s="23" t="s">
        <v>551</v>
      </c>
      <c r="H45" s="23" t="s">
        <v>552</v>
      </c>
      <c r="I45" s="24" t="b">
        <f aca="false">TRUE()</f>
        <v>1</v>
      </c>
      <c r="J45" s="25" t="n">
        <v>46309.28125</v>
      </c>
      <c r="K45" s="25" t="n">
        <v>46032.375</v>
      </c>
      <c r="L45" s="25" t="n">
        <v>46309.3333333333</v>
      </c>
    </row>
    <row r="46" customFormat="false" ht="15" hidden="false" customHeight="false" outlineLevel="0" collapsed="false">
      <c r="A46" s="26" t="n">
        <v>4</v>
      </c>
      <c r="B46" s="26" t="n">
        <v>1</v>
      </c>
      <c r="C46" s="26" t="n">
        <v>2</v>
      </c>
      <c r="D46" s="26" t="s">
        <v>553</v>
      </c>
      <c r="E46" s="26" t="s">
        <v>554</v>
      </c>
      <c r="F46" s="26" t="s">
        <v>555</v>
      </c>
      <c r="G46" s="26" t="s">
        <v>546</v>
      </c>
      <c r="H46" s="26" t="s">
        <v>556</v>
      </c>
      <c r="I46" s="27" t="b">
        <f aca="false">TRUE()</f>
        <v>1</v>
      </c>
      <c r="J46" s="28" t="n">
        <v>46308.7152777778</v>
      </c>
      <c r="K46" s="28" t="n">
        <v>46032.375</v>
      </c>
      <c r="L46" s="28" t="n">
        <v>46309.3333333333</v>
      </c>
    </row>
    <row r="47" customFormat="false" ht="15" hidden="false" customHeight="false" outlineLevel="0" collapsed="false">
      <c r="A47" s="23" t="n">
        <v>5</v>
      </c>
      <c r="B47" s="23" t="n">
        <v>1</v>
      </c>
      <c r="C47" s="23" t="n">
        <v>1</v>
      </c>
      <c r="D47" s="23" t="s">
        <v>557</v>
      </c>
      <c r="E47" s="23" t="s">
        <v>558</v>
      </c>
      <c r="F47" s="23" t="s">
        <v>559</v>
      </c>
      <c r="G47" s="23" t="s">
        <v>560</v>
      </c>
      <c r="H47" s="23" t="s">
        <v>561</v>
      </c>
      <c r="I47" s="24" t="b">
        <f aca="false">TRUE()</f>
        <v>1</v>
      </c>
      <c r="J47" s="25" t="n">
        <v>46309.2951388889</v>
      </c>
      <c r="K47" s="25" t="n">
        <v>46032.375</v>
      </c>
      <c r="L47" s="25" t="n">
        <v>46309.3333333333</v>
      </c>
    </row>
    <row r="48" customFormat="false" ht="15" hidden="false" customHeight="false" outlineLevel="0" collapsed="false">
      <c r="A48" s="26" t="n">
        <v>6</v>
      </c>
      <c r="B48" s="26" t="n">
        <v>2</v>
      </c>
      <c r="C48" s="26" t="n">
        <v>3</v>
      </c>
      <c r="D48" s="26" t="s">
        <v>562</v>
      </c>
      <c r="E48" s="26" t="s">
        <v>563</v>
      </c>
      <c r="F48" s="26" t="s">
        <v>564</v>
      </c>
      <c r="G48" s="26" t="s">
        <v>546</v>
      </c>
      <c r="H48" s="26" t="s">
        <v>565</v>
      </c>
      <c r="I48" s="27" t="b">
        <f aca="false">TRUE()</f>
        <v>1</v>
      </c>
      <c r="J48" s="28" t="n">
        <v>46309.3194444445</v>
      </c>
      <c r="K48" s="28" t="n">
        <v>46032.375</v>
      </c>
      <c r="L48" s="28" t="n">
        <v>46309.3333333333</v>
      </c>
    </row>
    <row r="49" customFormat="false" ht="15" hidden="false" customHeight="false" outlineLevel="0" collapsed="false">
      <c r="A49" s="23" t="n">
        <v>7</v>
      </c>
      <c r="B49" s="23" t="n">
        <v>2</v>
      </c>
      <c r="C49" s="23" t="n">
        <v>4</v>
      </c>
      <c r="D49" s="23" t="s">
        <v>566</v>
      </c>
      <c r="E49" s="23" t="s">
        <v>567</v>
      </c>
      <c r="F49" s="23" t="s">
        <v>568</v>
      </c>
      <c r="G49" s="23" t="s">
        <v>551</v>
      </c>
      <c r="H49" s="23" t="s">
        <v>569</v>
      </c>
      <c r="I49" s="24" t="b">
        <f aca="false">TRUE()</f>
        <v>1</v>
      </c>
      <c r="J49" s="25" t="n">
        <v>46308.6388888889</v>
      </c>
      <c r="K49" s="25" t="n">
        <v>46032.375</v>
      </c>
      <c r="L49" s="25" t="n">
        <v>46309.3333333333</v>
      </c>
    </row>
    <row r="50" customFormat="false" ht="15" hidden="false" customHeight="false" outlineLevel="0" collapsed="false">
      <c r="A50" s="26" t="n">
        <v>8</v>
      </c>
      <c r="B50" s="26" t="n">
        <v>2</v>
      </c>
      <c r="C50" s="26"/>
      <c r="D50" s="26" t="s">
        <v>570</v>
      </c>
      <c r="E50" s="26" t="s">
        <v>571</v>
      </c>
      <c r="F50" s="26" t="s">
        <v>572</v>
      </c>
      <c r="G50" s="26" t="s">
        <v>573</v>
      </c>
      <c r="H50" s="26" t="s">
        <v>574</v>
      </c>
      <c r="I50" s="27" t="b">
        <f aca="false">TRUE()</f>
        <v>1</v>
      </c>
      <c r="J50" s="28" t="n">
        <v>46307.375</v>
      </c>
      <c r="K50" s="28" t="n">
        <v>46032.375</v>
      </c>
      <c r="L50" s="28" t="n">
        <v>46309.3333333333</v>
      </c>
    </row>
    <row r="51" customFormat="false" ht="15" hidden="false" customHeight="false" outlineLevel="0" collapsed="false">
      <c r="A51" s="23" t="n">
        <v>9</v>
      </c>
      <c r="B51" s="23" t="n">
        <v>3</v>
      </c>
      <c r="C51" s="23" t="n">
        <v>5</v>
      </c>
      <c r="D51" s="23" t="s">
        <v>575</v>
      </c>
      <c r="E51" s="23" t="s">
        <v>576</v>
      </c>
      <c r="F51" s="23" t="s">
        <v>577</v>
      </c>
      <c r="G51" s="23" t="s">
        <v>546</v>
      </c>
      <c r="H51" s="23" t="s">
        <v>578</v>
      </c>
      <c r="I51" s="24" t="b">
        <f aca="false">TRUE()</f>
        <v>1</v>
      </c>
      <c r="J51" s="25" t="n">
        <v>46309.3020833333</v>
      </c>
      <c r="K51" s="25" t="n">
        <v>46032.375</v>
      </c>
      <c r="L51" s="25" t="n">
        <v>46309.3333333333</v>
      </c>
    </row>
    <row r="52" customFormat="false" ht="15" hidden="false" customHeight="false" outlineLevel="0" collapsed="false">
      <c r="A52" s="26" t="n">
        <v>10</v>
      </c>
      <c r="B52" s="26" t="n">
        <v>3</v>
      </c>
      <c r="C52" s="26" t="n">
        <v>6</v>
      </c>
      <c r="D52" s="26" t="s">
        <v>579</v>
      </c>
      <c r="E52" s="26" t="s">
        <v>580</v>
      </c>
      <c r="F52" s="26" t="s">
        <v>581</v>
      </c>
      <c r="G52" s="26" t="s">
        <v>560</v>
      </c>
      <c r="H52" s="26" t="s">
        <v>582</v>
      </c>
      <c r="I52" s="27" t="b">
        <f aca="false">TRUE()</f>
        <v>1</v>
      </c>
      <c r="J52" s="28" t="n">
        <v>46308.4895833333</v>
      </c>
      <c r="K52" s="28" t="n">
        <v>46032.375</v>
      </c>
      <c r="L52" s="28" t="n">
        <v>46309.3333333333</v>
      </c>
    </row>
    <row r="53" customFormat="false" ht="15" hidden="false" customHeight="false" outlineLevel="0" collapsed="false">
      <c r="A53" s="23" t="n">
        <v>11</v>
      </c>
      <c r="B53" s="23" t="n">
        <v>2</v>
      </c>
      <c r="C53" s="23" t="n">
        <v>3</v>
      </c>
      <c r="D53" s="23" t="s">
        <v>583</v>
      </c>
      <c r="E53" s="23" t="s">
        <v>584</v>
      </c>
      <c r="F53" s="23" t="s">
        <v>585</v>
      </c>
      <c r="G53" s="23" t="s">
        <v>560</v>
      </c>
      <c r="H53" s="23" t="s">
        <v>586</v>
      </c>
      <c r="I53" s="24" t="b">
        <f aca="false">TRUE()</f>
        <v>1</v>
      </c>
      <c r="J53" s="25" t="n">
        <v>46309.2569444445</v>
      </c>
      <c r="K53" s="25" t="n">
        <v>46032.375</v>
      </c>
      <c r="L53" s="25" t="n">
        <v>46309.3333333333</v>
      </c>
    </row>
    <row r="54" customFormat="false" ht="15" hidden="false" customHeight="false" outlineLevel="0" collapsed="false">
      <c r="A54" s="26" t="n">
        <v>12</v>
      </c>
      <c r="B54" s="26" t="n">
        <v>1</v>
      </c>
      <c r="C54" s="26" t="n">
        <v>2</v>
      </c>
      <c r="D54" s="26" t="s">
        <v>587</v>
      </c>
      <c r="E54" s="26" t="s">
        <v>588</v>
      </c>
      <c r="F54" s="26" t="s">
        <v>589</v>
      </c>
      <c r="G54" s="26" t="s">
        <v>551</v>
      </c>
      <c r="H54" s="26"/>
      <c r="I54" s="27" t="b">
        <f aca="false">FALSE()</f>
        <v>0</v>
      </c>
      <c r="J54" s="28" t="n">
        <v>46264.6666666667</v>
      </c>
      <c r="K54" s="28" t="n">
        <v>46032.375</v>
      </c>
      <c r="L54" s="28" t="n">
        <v>46309.3333333333</v>
      </c>
    </row>
  </sheetData>
  <mergeCells count="7">
    <mergeCell ref="C31:E31"/>
    <mergeCell ref="C32:E32"/>
    <mergeCell ref="C33:E33"/>
    <mergeCell ref="C34:E34"/>
    <mergeCell ref="C37:E37"/>
    <mergeCell ref="C38:E38"/>
    <mergeCell ref="C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O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60"/>
    <col collapsed="false" customWidth="true" hidden="false" outlineLevel="0" max="7" min="7" style="0" width="42"/>
    <col collapsed="false" customWidth="true" hidden="false" outlineLevel="0" max="8" min="8" style="0" width="37"/>
    <col collapsed="false" customWidth="true" hidden="false" outlineLevel="0" max="9" min="9" style="0" width="18"/>
    <col collapsed="false" customWidth="true" hidden="false" outlineLevel="0" max="11" min="10" style="0" width="22"/>
    <col collapsed="false" customWidth="true" hidden="false" outlineLevel="0" max="12" min="12" style="0" width="19"/>
    <col collapsed="false" customWidth="true" hidden="false" outlineLevel="0" max="13" min="13" style="0" width="26"/>
    <col collapsed="false" customWidth="true" hidden="false" outlineLevel="0" max="14" min="14" style="0" width="42"/>
    <col collapsed="false" customWidth="true" hidden="false" outlineLevel="0" max="15" min="15" style="0" width="22"/>
  </cols>
  <sheetData>
    <row r="1" customFormat="false" ht="19.7" hidden="false" customHeight="false" outlineLevel="0" collapsed="false">
      <c r="A1" s="16" t="s">
        <v>590</v>
      </c>
    </row>
    <row r="2" customFormat="false" ht="15" hidden="false" customHeight="false" outlineLevel="0" collapsed="false">
      <c r="A2" s="17" t="s">
        <v>63</v>
      </c>
    </row>
    <row r="3" customFormat="false" ht="15" hidden="false" customHeight="false" outlineLevel="0" collapsed="false">
      <c r="A3" s="18" t="s">
        <v>591</v>
      </c>
    </row>
    <row r="4" customFormat="false" ht="15" hidden="false" customHeight="false" outlineLevel="0" collapsed="false">
      <c r="A4" s="19" t="str">
        <f aca="false">HYPERLINK("#Tables!A1","&lt;&lt; Back to Tables index")</f>
        <v>&lt;&lt; Back to Tables index</v>
      </c>
    </row>
    <row r="6" customFormat="false" ht="19.5" hidden="false" customHeight="true" outlineLevel="0" collapsed="false">
      <c r="A6" s="20" t="s">
        <v>137</v>
      </c>
      <c r="B6" s="21"/>
      <c r="C6" s="21"/>
      <c r="D6" s="21"/>
      <c r="E6" s="21"/>
      <c r="F6" s="21"/>
    </row>
    <row r="7" customFormat="false" ht="15" hidden="false" customHeight="false" outlineLevel="0" collapsed="false">
      <c r="A7" s="9" t="s">
        <v>138</v>
      </c>
      <c r="B7" s="9" t="s">
        <v>139</v>
      </c>
      <c r="C7" s="9" t="s">
        <v>140</v>
      </c>
      <c r="D7" s="9" t="s">
        <v>141</v>
      </c>
      <c r="E7" s="9" t="s">
        <v>142</v>
      </c>
      <c r="F7" s="9" t="s">
        <v>143</v>
      </c>
    </row>
    <row r="8" customFormat="false" ht="15" hidden="false" customHeight="false" outlineLevel="0" collapsed="false">
      <c r="A8" s="11" t="s">
        <v>53</v>
      </c>
      <c r="B8" s="11" t="s">
        <v>592</v>
      </c>
      <c r="C8" s="11" t="s">
        <v>145</v>
      </c>
      <c r="D8" s="11" t="s">
        <v>146</v>
      </c>
      <c r="E8" s="22" t="s">
        <v>147</v>
      </c>
      <c r="F8" s="11" t="s">
        <v>593</v>
      </c>
    </row>
    <row r="9" customFormat="false" ht="15" hidden="false" customHeight="false" outlineLevel="0" collapsed="false">
      <c r="A9" s="14" t="s">
        <v>114</v>
      </c>
      <c r="B9" s="14" t="s">
        <v>216</v>
      </c>
      <c r="C9" s="14" t="s">
        <v>145</v>
      </c>
      <c r="D9" s="14"/>
      <c r="E9" s="29" t="s">
        <v>594</v>
      </c>
      <c r="F9" s="14" t="s">
        <v>595</v>
      </c>
    </row>
    <row r="10" customFormat="false" ht="15" hidden="false" customHeight="false" outlineLevel="0" collapsed="false">
      <c r="A10" s="11" t="s">
        <v>104</v>
      </c>
      <c r="B10" s="11" t="s">
        <v>216</v>
      </c>
      <c r="C10" s="11" t="s">
        <v>145</v>
      </c>
      <c r="D10" s="11"/>
      <c r="E10" s="29" t="s">
        <v>338</v>
      </c>
      <c r="F10" s="11" t="s">
        <v>596</v>
      </c>
    </row>
    <row r="11" customFormat="false" ht="15" hidden="false" customHeight="false" outlineLevel="0" collapsed="false">
      <c r="A11" s="14" t="s">
        <v>117</v>
      </c>
      <c r="B11" s="14" t="s">
        <v>216</v>
      </c>
      <c r="C11" s="14" t="s">
        <v>222</v>
      </c>
      <c r="D11" s="14"/>
      <c r="E11" s="29" t="s">
        <v>597</v>
      </c>
      <c r="F11" s="14" t="s">
        <v>118</v>
      </c>
    </row>
    <row r="12" customFormat="false" ht="15" hidden="false" customHeight="false" outlineLevel="0" collapsed="false">
      <c r="A12" s="11" t="s">
        <v>598</v>
      </c>
      <c r="B12" s="11" t="s">
        <v>155</v>
      </c>
      <c r="C12" s="11" t="s">
        <v>145</v>
      </c>
      <c r="D12" s="11"/>
      <c r="E12" s="11"/>
      <c r="F12" s="11" t="s">
        <v>599</v>
      </c>
    </row>
    <row r="13" customFormat="false" ht="15" hidden="false" customHeight="false" outlineLevel="0" collapsed="false">
      <c r="A13" s="14" t="s">
        <v>600</v>
      </c>
      <c r="B13" s="14" t="s">
        <v>255</v>
      </c>
      <c r="C13" s="14" t="s">
        <v>222</v>
      </c>
      <c r="D13" s="14"/>
      <c r="E13" s="14"/>
      <c r="F13" s="14" t="s">
        <v>601</v>
      </c>
    </row>
    <row r="14" customFormat="false" ht="15" hidden="false" customHeight="false" outlineLevel="0" collapsed="false">
      <c r="A14" s="11" t="s">
        <v>602</v>
      </c>
      <c r="B14" s="11" t="s">
        <v>509</v>
      </c>
      <c r="C14" s="11" t="s">
        <v>222</v>
      </c>
      <c r="D14" s="11"/>
      <c r="E14" s="11"/>
      <c r="F14" s="11" t="s">
        <v>603</v>
      </c>
    </row>
    <row r="15" customFormat="false" ht="15" hidden="false" customHeight="false" outlineLevel="0" collapsed="false">
      <c r="A15" s="14" t="s">
        <v>604</v>
      </c>
      <c r="B15" s="14" t="s">
        <v>605</v>
      </c>
      <c r="C15" s="14" t="s">
        <v>222</v>
      </c>
      <c r="D15" s="14"/>
      <c r="E15" s="14"/>
      <c r="F15" s="14" t="s">
        <v>606</v>
      </c>
    </row>
    <row r="16" customFormat="false" ht="15" hidden="false" customHeight="false" outlineLevel="0" collapsed="false">
      <c r="A16" s="11" t="s">
        <v>353</v>
      </c>
      <c r="B16" s="11" t="s">
        <v>350</v>
      </c>
      <c r="C16" s="11" t="s">
        <v>145</v>
      </c>
      <c r="D16" s="11" t="s">
        <v>607</v>
      </c>
      <c r="E16" s="11" t="s">
        <v>355</v>
      </c>
      <c r="F16" s="11" t="s">
        <v>608</v>
      </c>
    </row>
    <row r="17" customFormat="false" ht="15" hidden="false" customHeight="false" outlineLevel="0" collapsed="false">
      <c r="A17" s="14" t="s">
        <v>609</v>
      </c>
      <c r="B17" s="14" t="s">
        <v>169</v>
      </c>
      <c r="C17" s="14" t="s">
        <v>145</v>
      </c>
      <c r="D17" s="14" t="s">
        <v>170</v>
      </c>
      <c r="E17" s="14"/>
      <c r="F17" s="14" t="s">
        <v>610</v>
      </c>
    </row>
    <row r="18" customFormat="false" ht="15" hidden="false" customHeight="false" outlineLevel="0" collapsed="false">
      <c r="A18" s="11" t="s">
        <v>611</v>
      </c>
      <c r="B18" s="11" t="s">
        <v>169</v>
      </c>
      <c r="C18" s="11" t="s">
        <v>222</v>
      </c>
      <c r="D18" s="11"/>
      <c r="E18" s="11"/>
      <c r="F18" s="11" t="s">
        <v>612</v>
      </c>
    </row>
    <row r="19" customFormat="false" ht="15" hidden="false" customHeight="false" outlineLevel="0" collapsed="false">
      <c r="A19" s="14" t="s">
        <v>613</v>
      </c>
      <c r="B19" s="14" t="s">
        <v>430</v>
      </c>
      <c r="C19" s="14" t="s">
        <v>222</v>
      </c>
      <c r="D19" s="14"/>
      <c r="E19" s="14" t="s">
        <v>355</v>
      </c>
      <c r="F19" s="14" t="s">
        <v>614</v>
      </c>
    </row>
    <row r="20" customFormat="false" ht="15" hidden="false" customHeight="false" outlineLevel="0" collapsed="false">
      <c r="A20" s="11" t="s">
        <v>119</v>
      </c>
      <c r="B20" s="11" t="s">
        <v>216</v>
      </c>
      <c r="C20" s="11" t="s">
        <v>222</v>
      </c>
      <c r="D20" s="11"/>
      <c r="E20" s="29" t="s">
        <v>615</v>
      </c>
      <c r="F20" s="11" t="s">
        <v>616</v>
      </c>
    </row>
    <row r="21" customFormat="false" ht="15" hidden="false" customHeight="false" outlineLevel="0" collapsed="false">
      <c r="A21" s="14" t="s">
        <v>617</v>
      </c>
      <c r="B21" s="14" t="s">
        <v>258</v>
      </c>
      <c r="C21" s="14" t="s">
        <v>222</v>
      </c>
      <c r="D21" s="14"/>
      <c r="E21" s="14"/>
      <c r="F21" s="14" t="s">
        <v>618</v>
      </c>
    </row>
    <row r="22" customFormat="false" ht="15" hidden="false" customHeight="false" outlineLevel="0" collapsed="false">
      <c r="A22" s="11" t="s">
        <v>168</v>
      </c>
      <c r="B22" s="11" t="s">
        <v>169</v>
      </c>
      <c r="C22" s="11" t="s">
        <v>145</v>
      </c>
      <c r="D22" s="11" t="s">
        <v>170</v>
      </c>
      <c r="E22" s="11"/>
      <c r="F22" s="11" t="s">
        <v>171</v>
      </c>
    </row>
    <row r="24" customFormat="false" ht="19.5" hidden="false" customHeight="true" outlineLevel="0" collapsed="false">
      <c r="A24" s="20" t="s">
        <v>174</v>
      </c>
      <c r="B24" s="21"/>
      <c r="C24" s="21"/>
      <c r="D24" s="21"/>
      <c r="E24" s="21"/>
      <c r="F24" s="21"/>
    </row>
    <row r="25" customFormat="false" ht="15" hidden="false" customHeight="false" outlineLevel="0" collapsed="false">
      <c r="A25" s="9" t="s">
        <v>175</v>
      </c>
      <c r="B25" s="9" t="s">
        <v>176</v>
      </c>
      <c r="C25" s="9" t="s">
        <v>177</v>
      </c>
      <c r="D25" s="9" t="s">
        <v>178</v>
      </c>
      <c r="E25" s="9" t="s">
        <v>86</v>
      </c>
      <c r="F25" s="9" t="s">
        <v>179</v>
      </c>
    </row>
    <row r="26" customFormat="false" ht="23.85" hidden="false" customHeight="false" outlineLevel="0" collapsed="false">
      <c r="A26" s="11" t="s">
        <v>229</v>
      </c>
      <c r="B26" s="11" t="s">
        <v>114</v>
      </c>
      <c r="C26" s="11" t="s">
        <v>106</v>
      </c>
      <c r="D26" s="11" t="s">
        <v>53</v>
      </c>
      <c r="E26" s="11" t="s">
        <v>92</v>
      </c>
      <c r="F26" s="11" t="s">
        <v>437</v>
      </c>
    </row>
    <row r="27" customFormat="false" ht="15" hidden="false" customHeight="false" outlineLevel="0" collapsed="false">
      <c r="A27" s="14" t="s">
        <v>229</v>
      </c>
      <c r="B27" s="14" t="s">
        <v>104</v>
      </c>
      <c r="C27" s="14" t="s">
        <v>100</v>
      </c>
      <c r="D27" s="14" t="s">
        <v>53</v>
      </c>
      <c r="E27" s="14" t="s">
        <v>92</v>
      </c>
      <c r="F27" s="14" t="s">
        <v>304</v>
      </c>
    </row>
    <row r="28" customFormat="false" ht="23.85" hidden="false" customHeight="false" outlineLevel="0" collapsed="false">
      <c r="A28" s="11" t="s">
        <v>229</v>
      </c>
      <c r="B28" s="11" t="s">
        <v>117</v>
      </c>
      <c r="C28" s="11" t="s">
        <v>103</v>
      </c>
      <c r="D28" s="11" t="s">
        <v>53</v>
      </c>
      <c r="E28" s="11" t="s">
        <v>110</v>
      </c>
      <c r="F28" s="11" t="s">
        <v>359</v>
      </c>
    </row>
    <row r="29" customFormat="false" ht="23.85" hidden="false" customHeight="false" outlineLevel="0" collapsed="false">
      <c r="A29" s="14" t="s">
        <v>229</v>
      </c>
      <c r="B29" s="14" t="s">
        <v>119</v>
      </c>
      <c r="C29" s="14" t="s">
        <v>108</v>
      </c>
      <c r="D29" s="14" t="s">
        <v>53</v>
      </c>
      <c r="E29" s="14" t="s">
        <v>110</v>
      </c>
      <c r="F29" s="14" t="s">
        <v>521</v>
      </c>
    </row>
    <row r="30" customFormat="false" ht="23.85" hidden="false" customHeight="false" outlineLevel="0" collapsed="false">
      <c r="A30" s="11" t="s">
        <v>180</v>
      </c>
      <c r="B30" s="11" t="s">
        <v>53</v>
      </c>
      <c r="C30" s="11" t="s">
        <v>127</v>
      </c>
      <c r="D30" s="11" t="s">
        <v>131</v>
      </c>
      <c r="E30" s="11" t="s">
        <v>128</v>
      </c>
      <c r="F30" s="11" t="s">
        <v>619</v>
      </c>
    </row>
    <row r="32" customFormat="false" ht="19.5" hidden="false" customHeight="true" outlineLevel="0" collapsed="false">
      <c r="A32" s="20" t="s">
        <v>184</v>
      </c>
      <c r="B32" s="21"/>
      <c r="C32" s="21"/>
      <c r="D32" s="21"/>
      <c r="E32" s="21"/>
      <c r="F32" s="21"/>
    </row>
    <row r="33" customFormat="false" ht="15" hidden="false" customHeight="true" outlineLevel="0" collapsed="false">
      <c r="A33" s="9" t="s">
        <v>185</v>
      </c>
      <c r="B33" s="9" t="s">
        <v>42</v>
      </c>
      <c r="C33" s="9" t="s">
        <v>186</v>
      </c>
      <c r="D33" s="9"/>
      <c r="E33" s="9"/>
      <c r="F33" s="9" t="s">
        <v>43</v>
      </c>
    </row>
    <row r="34" customFormat="false" ht="15" hidden="false" customHeight="true" outlineLevel="0" collapsed="false">
      <c r="A34" s="11" t="s">
        <v>620</v>
      </c>
      <c r="B34" s="11" t="s">
        <v>188</v>
      </c>
      <c r="C34" s="11" t="s">
        <v>189</v>
      </c>
      <c r="D34" s="11"/>
      <c r="E34" s="11"/>
      <c r="F34" s="11" t="s">
        <v>190</v>
      </c>
    </row>
    <row r="35" customFormat="false" ht="30" hidden="false" customHeight="true" outlineLevel="0" collapsed="false">
      <c r="A35" s="14" t="s">
        <v>621</v>
      </c>
      <c r="B35" s="14" t="s">
        <v>355</v>
      </c>
      <c r="C35" s="14" t="s">
        <v>622</v>
      </c>
      <c r="D35" s="14"/>
      <c r="E35" s="14"/>
      <c r="F35" s="14" t="s">
        <v>623</v>
      </c>
    </row>
    <row r="36" customFormat="false" ht="30" hidden="false" customHeight="true" outlineLevel="0" collapsed="false">
      <c r="A36" s="11" t="s">
        <v>624</v>
      </c>
      <c r="B36" s="11" t="s">
        <v>355</v>
      </c>
      <c r="C36" s="11" t="s">
        <v>625</v>
      </c>
      <c r="D36" s="11"/>
      <c r="E36" s="11"/>
      <c r="F36" s="11" t="s">
        <v>626</v>
      </c>
    </row>
    <row r="38" customFormat="false" ht="19.5" hidden="false" customHeight="true" outlineLevel="0" collapsed="false">
      <c r="A38" s="20" t="s">
        <v>196</v>
      </c>
      <c r="B38" s="21"/>
      <c r="C38" s="21"/>
      <c r="D38" s="21"/>
      <c r="E38" s="21"/>
      <c r="F38" s="21"/>
    </row>
    <row r="39" customFormat="false" ht="15" hidden="false" customHeight="true" outlineLevel="0" collapsed="false">
      <c r="A39" s="9" t="s">
        <v>197</v>
      </c>
      <c r="B39" s="9" t="s">
        <v>42</v>
      </c>
      <c r="C39" s="9" t="s">
        <v>198</v>
      </c>
      <c r="D39" s="9"/>
      <c r="E39" s="9"/>
      <c r="F39" s="9" t="s">
        <v>43</v>
      </c>
    </row>
    <row r="40" customFormat="false" ht="15" hidden="false" customHeight="true" outlineLevel="0" collapsed="false">
      <c r="A40" s="11" t="s">
        <v>627</v>
      </c>
      <c r="B40" s="11" t="s">
        <v>628</v>
      </c>
      <c r="C40" s="11" t="s">
        <v>629</v>
      </c>
      <c r="D40" s="11"/>
      <c r="E40" s="11"/>
      <c r="F40" s="11" t="s">
        <v>630</v>
      </c>
    </row>
    <row r="41" customFormat="false" ht="15" hidden="false" customHeight="true" outlineLevel="0" collapsed="false">
      <c r="A41" s="14" t="s">
        <v>631</v>
      </c>
      <c r="B41" s="14" t="s">
        <v>632</v>
      </c>
      <c r="C41" s="14" t="s">
        <v>633</v>
      </c>
      <c r="D41" s="14"/>
      <c r="E41" s="14"/>
      <c r="F41" s="14" t="s">
        <v>634</v>
      </c>
    </row>
    <row r="42" customFormat="false" ht="15" hidden="false" customHeight="true" outlineLevel="0" collapsed="false">
      <c r="A42" s="11" t="s">
        <v>635</v>
      </c>
      <c r="B42" s="11" t="s">
        <v>367</v>
      </c>
      <c r="C42" s="11" t="s">
        <v>636</v>
      </c>
      <c r="D42" s="11"/>
      <c r="E42" s="11"/>
      <c r="F42" s="11" t="s">
        <v>637</v>
      </c>
    </row>
    <row r="44" customFormat="false" ht="19.5" hidden="false" customHeight="true" outlineLevel="0" collapsed="false">
      <c r="A44" s="20" t="s">
        <v>638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</row>
    <row r="45" customFormat="false" ht="15" hidden="false" customHeight="false" outlineLevel="0" collapsed="false">
      <c r="A45" s="9" t="s">
        <v>53</v>
      </c>
      <c r="B45" s="9" t="s">
        <v>114</v>
      </c>
      <c r="C45" s="9" t="s">
        <v>104</v>
      </c>
      <c r="D45" s="9" t="s">
        <v>117</v>
      </c>
      <c r="E45" s="9" t="s">
        <v>598</v>
      </c>
      <c r="F45" s="9" t="s">
        <v>600</v>
      </c>
      <c r="G45" s="9" t="s">
        <v>602</v>
      </c>
      <c r="H45" s="9" t="s">
        <v>604</v>
      </c>
      <c r="I45" s="9" t="s">
        <v>353</v>
      </c>
      <c r="J45" s="9" t="s">
        <v>609</v>
      </c>
      <c r="K45" s="9" t="s">
        <v>611</v>
      </c>
      <c r="L45" s="9" t="s">
        <v>613</v>
      </c>
      <c r="M45" s="9" t="s">
        <v>119</v>
      </c>
      <c r="N45" s="9" t="s">
        <v>617</v>
      </c>
      <c r="O45" s="9" t="s">
        <v>168</v>
      </c>
    </row>
    <row r="46" customFormat="false" ht="15" hidden="false" customHeight="false" outlineLevel="0" collapsed="false">
      <c r="A46" s="23" t="n">
        <v>1</v>
      </c>
      <c r="B46" s="23" t="n">
        <v>102</v>
      </c>
      <c r="C46" s="23" t="n">
        <v>1</v>
      </c>
      <c r="D46" s="23" t="n">
        <v>1</v>
      </c>
      <c r="E46" s="23" t="s">
        <v>639</v>
      </c>
      <c r="F46" s="23" t="s">
        <v>640</v>
      </c>
      <c r="G46" s="23" t="s">
        <v>641</v>
      </c>
      <c r="H46" s="23" t="s">
        <v>642</v>
      </c>
      <c r="I46" s="23" t="s">
        <v>643</v>
      </c>
      <c r="J46" s="25" t="n">
        <v>46309.3868055556</v>
      </c>
      <c r="K46" s="23"/>
      <c r="L46" s="23"/>
      <c r="M46" s="23"/>
      <c r="N46" s="23"/>
      <c r="O46" s="25" t="n">
        <v>46309.3868055556</v>
      </c>
    </row>
    <row r="47" customFormat="false" ht="15" hidden="false" customHeight="false" outlineLevel="0" collapsed="false">
      <c r="A47" s="26" t="n">
        <v>2</v>
      </c>
      <c r="B47" s="26" t="n">
        <v>202</v>
      </c>
      <c r="C47" s="26" t="n">
        <v>2</v>
      </c>
      <c r="D47" s="26" t="n">
        <v>2</v>
      </c>
      <c r="E47" s="26" t="s">
        <v>644</v>
      </c>
      <c r="F47" s="26" t="s">
        <v>547</v>
      </c>
      <c r="G47" s="26" t="s">
        <v>645</v>
      </c>
      <c r="H47" s="26" t="s">
        <v>646</v>
      </c>
      <c r="I47" s="26" t="s">
        <v>643</v>
      </c>
      <c r="J47" s="28" t="n">
        <v>46309.3152777778</v>
      </c>
      <c r="K47" s="26"/>
      <c r="L47" s="26"/>
      <c r="M47" s="26"/>
      <c r="N47" s="26"/>
      <c r="O47" s="28" t="n">
        <v>46309.3152777778</v>
      </c>
    </row>
    <row r="48" customFormat="false" ht="15" hidden="false" customHeight="false" outlineLevel="0" collapsed="false">
      <c r="A48" s="23" t="n">
        <v>3</v>
      </c>
      <c r="B48" s="23" t="n">
        <v>203</v>
      </c>
      <c r="C48" s="23" t="n">
        <v>2</v>
      </c>
      <c r="D48" s="23" t="n">
        <v>2</v>
      </c>
      <c r="E48" s="23" t="s">
        <v>647</v>
      </c>
      <c r="F48" s="23" t="s">
        <v>552</v>
      </c>
      <c r="G48" s="23" t="s">
        <v>648</v>
      </c>
      <c r="H48" s="23" t="s">
        <v>649</v>
      </c>
      <c r="I48" s="23" t="s">
        <v>643</v>
      </c>
      <c r="J48" s="25" t="n">
        <v>46309.4520833333</v>
      </c>
      <c r="K48" s="23"/>
      <c r="L48" s="23"/>
      <c r="M48" s="23"/>
      <c r="N48" s="23"/>
      <c r="O48" s="25" t="n">
        <v>46309.4520833333</v>
      </c>
    </row>
    <row r="49" customFormat="false" ht="15" hidden="false" customHeight="false" outlineLevel="0" collapsed="false">
      <c r="A49" s="26" t="n">
        <v>4</v>
      </c>
      <c r="B49" s="26" t="n">
        <v>302</v>
      </c>
      <c r="C49" s="26" t="n">
        <v>3</v>
      </c>
      <c r="D49" s="26" t="n">
        <v>3</v>
      </c>
      <c r="E49" s="26" t="s">
        <v>650</v>
      </c>
      <c r="F49" s="26" t="s">
        <v>651</v>
      </c>
      <c r="G49" s="26" t="s">
        <v>652</v>
      </c>
      <c r="H49" s="26" t="s">
        <v>653</v>
      </c>
      <c r="I49" s="26" t="s">
        <v>643</v>
      </c>
      <c r="J49" s="28" t="n">
        <v>46309.3388888889</v>
      </c>
      <c r="K49" s="26"/>
      <c r="L49" s="26"/>
      <c r="M49" s="26"/>
      <c r="N49" s="26"/>
      <c r="O49" s="28" t="n">
        <v>46309.3388888889</v>
      </c>
    </row>
    <row r="50" customFormat="false" ht="15" hidden="false" customHeight="false" outlineLevel="0" collapsed="false">
      <c r="A50" s="23" t="n">
        <v>5</v>
      </c>
      <c r="B50" s="23" t="n">
        <v>403</v>
      </c>
      <c r="C50" s="23" t="n">
        <v>4</v>
      </c>
      <c r="D50" s="23" t="n">
        <v>4</v>
      </c>
      <c r="E50" s="23" t="s">
        <v>654</v>
      </c>
      <c r="F50" s="23"/>
      <c r="G50" s="23" t="s">
        <v>655</v>
      </c>
      <c r="H50" s="23" t="s">
        <v>656</v>
      </c>
      <c r="I50" s="23" t="s">
        <v>643</v>
      </c>
      <c r="J50" s="25" t="n">
        <v>46309.2673611111</v>
      </c>
      <c r="K50" s="23"/>
      <c r="L50" s="23"/>
      <c r="M50" s="23"/>
      <c r="N50" s="23"/>
      <c r="O50" s="25" t="n">
        <v>46309.2673611111</v>
      </c>
    </row>
    <row r="51" customFormat="false" ht="15" hidden="false" customHeight="false" outlineLevel="0" collapsed="false">
      <c r="A51" s="26" t="n">
        <v>6</v>
      </c>
      <c r="B51" s="26" t="n">
        <v>501</v>
      </c>
      <c r="C51" s="26" t="n">
        <v>5</v>
      </c>
      <c r="D51" s="26" t="n">
        <v>5</v>
      </c>
      <c r="E51" s="26" t="s">
        <v>657</v>
      </c>
      <c r="F51" s="26" t="s">
        <v>658</v>
      </c>
      <c r="G51" s="26" t="s">
        <v>659</v>
      </c>
      <c r="H51" s="26" t="s">
        <v>660</v>
      </c>
      <c r="I51" s="26" t="s">
        <v>643</v>
      </c>
      <c r="J51" s="28" t="n">
        <v>46309.4041666667</v>
      </c>
      <c r="K51" s="26"/>
      <c r="L51" s="26"/>
      <c r="M51" s="26"/>
      <c r="N51" s="26"/>
      <c r="O51" s="28" t="n">
        <v>46309.4041666667</v>
      </c>
    </row>
    <row r="52" customFormat="false" ht="15" hidden="false" customHeight="false" outlineLevel="0" collapsed="false">
      <c r="A52" s="23" t="n">
        <v>7</v>
      </c>
      <c r="B52" s="23" t="n">
        <v>503</v>
      </c>
      <c r="C52" s="23" t="n">
        <v>5</v>
      </c>
      <c r="D52" s="23" t="n">
        <v>5</v>
      </c>
      <c r="E52" s="23" t="s">
        <v>661</v>
      </c>
      <c r="F52" s="23" t="s">
        <v>662</v>
      </c>
      <c r="G52" s="23" t="s">
        <v>663</v>
      </c>
      <c r="H52" s="23" t="s">
        <v>664</v>
      </c>
      <c r="I52" s="23" t="s">
        <v>643</v>
      </c>
      <c r="J52" s="25" t="n">
        <v>46309.3326388889</v>
      </c>
      <c r="K52" s="23"/>
      <c r="L52" s="23"/>
      <c r="M52" s="23"/>
      <c r="N52" s="23"/>
      <c r="O52" s="25" t="n">
        <v>46309.3326388889</v>
      </c>
    </row>
    <row r="53" customFormat="false" ht="15" hidden="false" customHeight="false" outlineLevel="0" collapsed="false">
      <c r="A53" s="26" t="n">
        <v>8</v>
      </c>
      <c r="B53" s="26" t="n">
        <v>602</v>
      </c>
      <c r="C53" s="26" t="n">
        <v>6</v>
      </c>
      <c r="D53" s="26" t="n">
        <v>6</v>
      </c>
      <c r="E53" s="26" t="s">
        <v>665</v>
      </c>
      <c r="F53" s="26" t="s">
        <v>666</v>
      </c>
      <c r="G53" s="26" t="s">
        <v>667</v>
      </c>
      <c r="H53" s="26" t="s">
        <v>668</v>
      </c>
      <c r="I53" s="26" t="s">
        <v>643</v>
      </c>
      <c r="J53" s="28" t="n">
        <v>46309.4277777778</v>
      </c>
      <c r="K53" s="26"/>
      <c r="L53" s="26"/>
      <c r="M53" s="26"/>
      <c r="N53" s="26"/>
      <c r="O53" s="28" t="n">
        <v>46309.4277777778</v>
      </c>
    </row>
    <row r="54" customFormat="false" ht="15" hidden="false" customHeight="false" outlineLevel="0" collapsed="false">
      <c r="A54" s="23" t="n">
        <v>9</v>
      </c>
      <c r="B54" s="23" t="n">
        <v>701</v>
      </c>
      <c r="C54" s="23" t="n">
        <v>7</v>
      </c>
      <c r="D54" s="23" t="n">
        <v>7</v>
      </c>
      <c r="E54" s="23" t="s">
        <v>669</v>
      </c>
      <c r="F54" s="23" t="s">
        <v>670</v>
      </c>
      <c r="G54" s="23" t="s">
        <v>671</v>
      </c>
      <c r="H54" s="23" t="s">
        <v>672</v>
      </c>
      <c r="I54" s="23" t="s">
        <v>643</v>
      </c>
      <c r="J54" s="25" t="n">
        <v>46309.35625</v>
      </c>
      <c r="K54" s="23"/>
      <c r="L54" s="23"/>
      <c r="M54" s="23"/>
      <c r="N54" s="23"/>
      <c r="O54" s="25" t="n">
        <v>46309.35625</v>
      </c>
    </row>
    <row r="55" customFormat="false" ht="15" hidden="false" customHeight="false" outlineLevel="0" collapsed="false">
      <c r="A55" s="26" t="n">
        <v>10</v>
      </c>
      <c r="B55" s="26" t="n">
        <v>802</v>
      </c>
      <c r="C55" s="26" t="n">
        <v>8</v>
      </c>
      <c r="D55" s="26" t="n">
        <v>8</v>
      </c>
      <c r="E55" s="26" t="s">
        <v>673</v>
      </c>
      <c r="F55" s="26"/>
      <c r="G55" s="26" t="s">
        <v>674</v>
      </c>
      <c r="H55" s="26" t="s">
        <v>675</v>
      </c>
      <c r="I55" s="26" t="s">
        <v>643</v>
      </c>
      <c r="J55" s="28" t="n">
        <v>46309.2847222222</v>
      </c>
      <c r="K55" s="26"/>
      <c r="L55" s="26"/>
      <c r="M55" s="26"/>
      <c r="N55" s="26"/>
      <c r="O55" s="28" t="n">
        <v>46309.2847222222</v>
      </c>
    </row>
    <row r="56" customFormat="false" ht="15" hidden="false" customHeight="false" outlineLevel="0" collapsed="false">
      <c r="A56" s="23" t="n">
        <v>11</v>
      </c>
      <c r="B56" s="23" t="n">
        <v>901</v>
      </c>
      <c r="C56" s="23" t="n">
        <v>9</v>
      </c>
      <c r="D56" s="23" t="n">
        <v>9</v>
      </c>
      <c r="E56" s="23" t="s">
        <v>676</v>
      </c>
      <c r="F56" s="23" t="s">
        <v>677</v>
      </c>
      <c r="G56" s="23" t="s">
        <v>678</v>
      </c>
      <c r="H56" s="23" t="s">
        <v>679</v>
      </c>
      <c r="I56" s="23" t="s">
        <v>643</v>
      </c>
      <c r="J56" s="25" t="n">
        <v>46309.3798611111</v>
      </c>
      <c r="K56" s="23"/>
      <c r="L56" s="23"/>
      <c r="M56" s="23"/>
      <c r="N56" s="23"/>
      <c r="O56" s="25" t="n">
        <v>46309.3798611111</v>
      </c>
    </row>
    <row r="57" customFormat="false" ht="15" hidden="false" customHeight="false" outlineLevel="0" collapsed="false">
      <c r="A57" s="26" t="n">
        <v>12</v>
      </c>
      <c r="B57" s="26" t="n">
        <v>1002</v>
      </c>
      <c r="C57" s="26" t="n">
        <v>10</v>
      </c>
      <c r="D57" s="26" t="n">
        <v>10</v>
      </c>
      <c r="E57" s="26" t="s">
        <v>680</v>
      </c>
      <c r="F57" s="26" t="s">
        <v>681</v>
      </c>
      <c r="G57" s="26" t="s">
        <v>682</v>
      </c>
      <c r="H57" s="26" t="s">
        <v>683</v>
      </c>
      <c r="I57" s="26" t="s">
        <v>643</v>
      </c>
      <c r="J57" s="28" t="n">
        <v>46309.3083333333</v>
      </c>
      <c r="K57" s="26"/>
      <c r="L57" s="26"/>
      <c r="M57" s="26"/>
      <c r="N57" s="26"/>
      <c r="O57" s="28" t="n">
        <v>46309.3083333333</v>
      </c>
    </row>
    <row r="58" customFormat="false" ht="15" hidden="false" customHeight="false" outlineLevel="0" collapsed="false">
      <c r="A58" s="23" t="n">
        <v>13</v>
      </c>
      <c r="B58" s="23" t="n">
        <v>101</v>
      </c>
      <c r="C58" s="23" t="n">
        <v>1</v>
      </c>
      <c r="D58" s="23" t="n">
        <v>1</v>
      </c>
      <c r="E58" s="23" t="s">
        <v>684</v>
      </c>
      <c r="F58" s="23" t="s">
        <v>685</v>
      </c>
      <c r="G58" s="23" t="s">
        <v>686</v>
      </c>
      <c r="H58" s="23" t="s">
        <v>687</v>
      </c>
      <c r="I58" s="23" t="s">
        <v>688</v>
      </c>
      <c r="J58" s="25" t="n">
        <v>46307.3819444445</v>
      </c>
      <c r="K58" s="25" t="n">
        <v>46307.4861111111</v>
      </c>
      <c r="L58" s="23" t="s">
        <v>689</v>
      </c>
      <c r="M58" s="23"/>
      <c r="N58" s="23"/>
      <c r="O58" s="25" t="n">
        <v>46307.3819444445</v>
      </c>
    </row>
    <row r="59" customFormat="false" ht="15" hidden="false" customHeight="false" outlineLevel="0" collapsed="false">
      <c r="A59" s="26" t="n">
        <v>14</v>
      </c>
      <c r="B59" s="26" t="n">
        <v>101</v>
      </c>
      <c r="C59" s="26" t="n">
        <v>1</v>
      </c>
      <c r="D59" s="26" t="n">
        <v>1</v>
      </c>
      <c r="E59" s="26" t="s">
        <v>690</v>
      </c>
      <c r="F59" s="26" t="s">
        <v>685</v>
      </c>
      <c r="G59" s="26" t="s">
        <v>691</v>
      </c>
      <c r="H59" s="26" t="s">
        <v>692</v>
      </c>
      <c r="I59" s="26" t="s">
        <v>688</v>
      </c>
      <c r="J59" s="28" t="n">
        <v>46308.5833333333</v>
      </c>
      <c r="K59" s="28" t="n">
        <v>46308.6875</v>
      </c>
      <c r="L59" s="26" t="s">
        <v>689</v>
      </c>
      <c r="M59" s="26"/>
      <c r="N59" s="26"/>
      <c r="O59" s="28" t="n">
        <v>46308.5833333333</v>
      </c>
    </row>
    <row r="60" customFormat="false" ht="15" hidden="false" customHeight="false" outlineLevel="0" collapsed="false">
      <c r="A60" s="23" t="n">
        <v>15</v>
      </c>
      <c r="B60" s="23" t="n">
        <v>103</v>
      </c>
      <c r="C60" s="23" t="n">
        <v>1</v>
      </c>
      <c r="D60" s="23" t="n">
        <v>1</v>
      </c>
      <c r="E60" s="23" t="s">
        <v>693</v>
      </c>
      <c r="F60" s="23" t="s">
        <v>694</v>
      </c>
      <c r="G60" s="23" t="s">
        <v>695</v>
      </c>
      <c r="H60" s="23"/>
      <c r="I60" s="23" t="s">
        <v>696</v>
      </c>
      <c r="J60" s="25" t="n">
        <v>46306.3333333333</v>
      </c>
      <c r="K60" s="25" t="n">
        <v>46306.3368055556</v>
      </c>
      <c r="L60" s="23" t="s">
        <v>697</v>
      </c>
      <c r="M60" s="23" t="n">
        <v>1</v>
      </c>
      <c r="N60" s="23" t="s">
        <v>698</v>
      </c>
      <c r="O60" s="25" t="n">
        <v>46306.3333333333</v>
      </c>
    </row>
    <row r="61" customFormat="false" ht="15" hidden="false" customHeight="false" outlineLevel="0" collapsed="false">
      <c r="A61" s="26" t="n">
        <v>16</v>
      </c>
      <c r="B61" s="26" t="n">
        <v>201</v>
      </c>
      <c r="C61" s="26" t="n">
        <v>2</v>
      </c>
      <c r="D61" s="26" t="n">
        <v>2</v>
      </c>
      <c r="E61" s="26" t="s">
        <v>699</v>
      </c>
      <c r="F61" s="26" t="s">
        <v>542</v>
      </c>
      <c r="G61" s="26" t="s">
        <v>700</v>
      </c>
      <c r="H61" s="26" t="s">
        <v>701</v>
      </c>
      <c r="I61" s="26" t="s">
        <v>702</v>
      </c>
      <c r="J61" s="28" t="n">
        <v>46307.4166666667</v>
      </c>
      <c r="K61" s="28" t="n">
        <v>46308.4166666667</v>
      </c>
      <c r="L61" s="26" t="s">
        <v>703</v>
      </c>
      <c r="M61" s="26"/>
      <c r="N61" s="26" t="s">
        <v>704</v>
      </c>
      <c r="O61" s="28" t="n">
        <v>46307.4166666667</v>
      </c>
    </row>
    <row r="62" customFormat="false" ht="15" hidden="false" customHeight="false" outlineLevel="0" collapsed="false">
      <c r="A62" s="23" t="n">
        <v>17</v>
      </c>
      <c r="B62" s="23" t="n">
        <v>204</v>
      </c>
      <c r="C62" s="23" t="n">
        <v>2</v>
      </c>
      <c r="D62" s="23" t="n">
        <v>2</v>
      </c>
      <c r="E62" s="23" t="s">
        <v>705</v>
      </c>
      <c r="F62" s="23" t="s">
        <v>556</v>
      </c>
      <c r="G62" s="23" t="s">
        <v>706</v>
      </c>
      <c r="H62" s="23" t="s">
        <v>707</v>
      </c>
      <c r="I62" s="23" t="s">
        <v>708</v>
      </c>
      <c r="J62" s="25" t="n">
        <v>46308.5</v>
      </c>
      <c r="K62" s="25" t="n">
        <v>46308.5729166667</v>
      </c>
      <c r="L62" s="23" t="s">
        <v>709</v>
      </c>
      <c r="M62" s="23" t="n">
        <v>3</v>
      </c>
      <c r="N62" s="23" t="s">
        <v>710</v>
      </c>
      <c r="O62" s="25" t="n">
        <v>46308.5</v>
      </c>
    </row>
    <row r="63" customFormat="false" ht="15" hidden="false" customHeight="false" outlineLevel="0" collapsed="false">
      <c r="A63" s="26" t="n">
        <v>18</v>
      </c>
      <c r="B63" s="26" t="n">
        <v>301</v>
      </c>
      <c r="C63" s="26" t="n">
        <v>3</v>
      </c>
      <c r="D63" s="26" t="n">
        <v>3</v>
      </c>
      <c r="E63" s="26" t="s">
        <v>711</v>
      </c>
      <c r="F63" s="26" t="s">
        <v>712</v>
      </c>
      <c r="G63" s="26" t="s">
        <v>713</v>
      </c>
      <c r="H63" s="26" t="s">
        <v>714</v>
      </c>
      <c r="I63" s="26" t="s">
        <v>688</v>
      </c>
      <c r="J63" s="28" t="n">
        <v>46307.3958333333</v>
      </c>
      <c r="K63" s="28" t="n">
        <v>46307.5</v>
      </c>
      <c r="L63" s="26" t="s">
        <v>689</v>
      </c>
      <c r="M63" s="26"/>
      <c r="N63" s="26"/>
      <c r="O63" s="28" t="n">
        <v>46307.3958333333</v>
      </c>
    </row>
    <row r="64" customFormat="false" ht="15" hidden="false" customHeight="false" outlineLevel="0" collapsed="false">
      <c r="A64" s="23" t="n">
        <v>19</v>
      </c>
      <c r="B64" s="23" t="n">
        <v>303</v>
      </c>
      <c r="C64" s="23" t="n">
        <v>3</v>
      </c>
      <c r="D64" s="23" t="n">
        <v>3</v>
      </c>
      <c r="E64" s="23" t="s">
        <v>715</v>
      </c>
      <c r="F64" s="23" t="s">
        <v>716</v>
      </c>
      <c r="G64" s="23" t="s">
        <v>717</v>
      </c>
      <c r="H64" s="23" t="s">
        <v>718</v>
      </c>
      <c r="I64" s="23" t="s">
        <v>688</v>
      </c>
      <c r="J64" s="25" t="n">
        <v>46308.625</v>
      </c>
      <c r="K64" s="25" t="n">
        <v>46308.7222222222</v>
      </c>
      <c r="L64" s="23" t="s">
        <v>689</v>
      </c>
      <c r="M64" s="23"/>
      <c r="N64" s="23"/>
      <c r="O64" s="25" t="n">
        <v>46308.625</v>
      </c>
    </row>
    <row r="65" customFormat="false" ht="15" hidden="false" customHeight="false" outlineLevel="0" collapsed="false">
      <c r="A65" s="26" t="n">
        <v>20</v>
      </c>
      <c r="B65" s="26" t="n">
        <v>401</v>
      </c>
      <c r="C65" s="26" t="n">
        <v>4</v>
      </c>
      <c r="D65" s="26" t="n">
        <v>4</v>
      </c>
      <c r="E65" s="26" t="s">
        <v>719</v>
      </c>
      <c r="F65" s="26" t="s">
        <v>720</v>
      </c>
      <c r="G65" s="26" t="s">
        <v>721</v>
      </c>
      <c r="H65" s="26" t="s">
        <v>722</v>
      </c>
      <c r="I65" s="26" t="s">
        <v>688</v>
      </c>
      <c r="J65" s="28" t="n">
        <v>46305.2916666667</v>
      </c>
      <c r="K65" s="28" t="n">
        <v>46305.375</v>
      </c>
      <c r="L65" s="26" t="s">
        <v>689</v>
      </c>
      <c r="M65" s="26"/>
      <c r="N65" s="26"/>
      <c r="O65" s="28" t="n">
        <v>46305.2916666667</v>
      </c>
    </row>
    <row r="66" customFormat="false" ht="15" hidden="false" customHeight="false" outlineLevel="0" collapsed="false">
      <c r="A66" s="23" t="n">
        <v>21</v>
      </c>
      <c r="B66" s="23" t="n">
        <v>502</v>
      </c>
      <c r="C66" s="23" t="n">
        <v>5</v>
      </c>
      <c r="D66" s="23" t="n">
        <v>5</v>
      </c>
      <c r="E66" s="23" t="s">
        <v>723</v>
      </c>
      <c r="F66" s="23" t="s">
        <v>724</v>
      </c>
      <c r="G66" s="23" t="s">
        <v>725</v>
      </c>
      <c r="H66" s="23" t="s">
        <v>726</v>
      </c>
      <c r="I66" s="23" t="s">
        <v>688</v>
      </c>
      <c r="J66" s="25" t="n">
        <v>46308.2604166667</v>
      </c>
      <c r="K66" s="25" t="n">
        <v>46308.3229166667</v>
      </c>
      <c r="L66" s="23" t="s">
        <v>689</v>
      </c>
      <c r="M66" s="23"/>
      <c r="N66" s="23"/>
      <c r="O66" s="25" t="n">
        <v>46308.2604166667</v>
      </c>
    </row>
    <row r="67" customFormat="false" ht="15" hidden="false" customHeight="false" outlineLevel="0" collapsed="false">
      <c r="A67" s="26" t="n">
        <v>22</v>
      </c>
      <c r="B67" s="26" t="n">
        <v>601</v>
      </c>
      <c r="C67" s="26" t="n">
        <v>6</v>
      </c>
      <c r="D67" s="26" t="n">
        <v>6</v>
      </c>
      <c r="E67" s="26" t="s">
        <v>727</v>
      </c>
      <c r="F67" s="26" t="s">
        <v>728</v>
      </c>
      <c r="G67" s="26" t="s">
        <v>729</v>
      </c>
      <c r="H67" s="26" t="s">
        <v>730</v>
      </c>
      <c r="I67" s="26" t="s">
        <v>688</v>
      </c>
      <c r="J67" s="28" t="n">
        <v>46307.75</v>
      </c>
      <c r="K67" s="28" t="n">
        <v>46307.7986111111</v>
      </c>
      <c r="L67" s="26" t="s">
        <v>689</v>
      </c>
      <c r="M67" s="26"/>
      <c r="N67" s="26"/>
      <c r="O67" s="28" t="n">
        <v>46307.75</v>
      </c>
    </row>
    <row r="68" customFormat="false" ht="15" hidden="false" customHeight="false" outlineLevel="0" collapsed="false">
      <c r="A68" s="23" t="n">
        <v>23</v>
      </c>
      <c r="B68" s="23" t="n">
        <v>702</v>
      </c>
      <c r="C68" s="23" t="n">
        <v>7</v>
      </c>
      <c r="D68" s="23" t="n">
        <v>7</v>
      </c>
      <c r="E68" s="23" t="s">
        <v>731</v>
      </c>
      <c r="F68" s="23" t="s">
        <v>732</v>
      </c>
      <c r="G68" s="23" t="s">
        <v>733</v>
      </c>
      <c r="H68" s="23"/>
      <c r="I68" s="23" t="s">
        <v>688</v>
      </c>
      <c r="J68" s="25" t="n">
        <v>46304.7083333333</v>
      </c>
      <c r="K68" s="25" t="n">
        <v>46304.75</v>
      </c>
      <c r="L68" s="23" t="s">
        <v>689</v>
      </c>
      <c r="M68" s="23"/>
      <c r="N68" s="23"/>
      <c r="O68" s="25" t="n">
        <v>46304.7083333333</v>
      </c>
    </row>
    <row r="69" customFormat="false" ht="15" hidden="false" customHeight="false" outlineLevel="0" collapsed="false">
      <c r="A69" s="26" t="n">
        <v>24</v>
      </c>
      <c r="B69" s="26" t="n">
        <v>803</v>
      </c>
      <c r="C69" s="26" t="n">
        <v>8</v>
      </c>
      <c r="D69" s="26" t="n">
        <v>8</v>
      </c>
      <c r="E69" s="26" t="s">
        <v>734</v>
      </c>
      <c r="F69" s="26" t="s">
        <v>735</v>
      </c>
      <c r="G69" s="26" t="s">
        <v>736</v>
      </c>
      <c r="H69" s="26" t="s">
        <v>737</v>
      </c>
      <c r="I69" s="26" t="s">
        <v>688</v>
      </c>
      <c r="J69" s="28" t="n">
        <v>46308.4583333333</v>
      </c>
      <c r="K69" s="28" t="n">
        <v>46308.5625</v>
      </c>
      <c r="L69" s="26" t="s">
        <v>689</v>
      </c>
      <c r="M69" s="26"/>
      <c r="N69" s="26"/>
      <c r="O69" s="28" t="n">
        <v>46308.4583333333</v>
      </c>
    </row>
    <row r="70" customFormat="false" ht="15" hidden="false" customHeight="false" outlineLevel="0" collapsed="false">
      <c r="A70" s="23" t="n">
        <v>25</v>
      </c>
      <c r="B70" s="23" t="n">
        <v>102</v>
      </c>
      <c r="C70" s="23" t="n">
        <v>1</v>
      </c>
      <c r="D70" s="23" t="n">
        <v>1</v>
      </c>
      <c r="E70" s="23" t="s">
        <v>738</v>
      </c>
      <c r="F70" s="23" t="s">
        <v>640</v>
      </c>
      <c r="G70" s="23" t="s">
        <v>739</v>
      </c>
      <c r="H70" s="23" t="s">
        <v>740</v>
      </c>
      <c r="I70" s="23" t="s">
        <v>688</v>
      </c>
      <c r="J70" s="25" t="n">
        <v>46308.375</v>
      </c>
      <c r="K70" s="25" t="n">
        <v>46308.5104166667</v>
      </c>
      <c r="L70" s="23" t="s">
        <v>689</v>
      </c>
      <c r="M70" s="23"/>
      <c r="N70" s="23"/>
      <c r="O70" s="25" t="n">
        <v>46308.375</v>
      </c>
    </row>
  </sheetData>
  <mergeCells count="8">
    <mergeCell ref="C33:E33"/>
    <mergeCell ref="C34:E34"/>
    <mergeCell ref="C35:E35"/>
    <mergeCell ref="C36:E36"/>
    <mergeCell ref="C39:E39"/>
    <mergeCell ref="C40:E40"/>
    <mergeCell ref="C41:E41"/>
    <mergeCell ref="C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60"/>
    <col collapsed="false" customWidth="true" hidden="false" outlineLevel="0" max="7" min="7" style="0" width="14"/>
    <col collapsed="false" customWidth="true" hidden="false" outlineLevel="0" max="9" min="8" style="0" width="42"/>
    <col collapsed="false" customWidth="true" hidden="false" outlineLevel="0" max="11" min="10" style="0" width="22"/>
  </cols>
  <sheetData>
    <row r="1" customFormat="false" ht="19.7" hidden="false" customHeight="false" outlineLevel="0" collapsed="false">
      <c r="A1" s="16" t="s">
        <v>741</v>
      </c>
    </row>
    <row r="2" customFormat="false" ht="15" hidden="false" customHeight="false" outlineLevel="0" collapsed="false">
      <c r="A2" s="17" t="s">
        <v>65</v>
      </c>
    </row>
    <row r="3" customFormat="false" ht="15" hidden="false" customHeight="false" outlineLevel="0" collapsed="false">
      <c r="A3" s="18" t="s">
        <v>742</v>
      </c>
    </row>
    <row r="4" customFormat="false" ht="15" hidden="false" customHeight="false" outlineLevel="0" collapsed="false">
      <c r="A4" s="19" t="str">
        <f aca="false">HYPERLINK("#Tables!A1","&lt;&lt; Back to Tables index")</f>
        <v>&lt;&lt; Back to Tables index</v>
      </c>
    </row>
    <row r="6" customFormat="false" ht="19.5" hidden="false" customHeight="true" outlineLevel="0" collapsed="false">
      <c r="A6" s="20" t="s">
        <v>137</v>
      </c>
      <c r="B6" s="21"/>
      <c r="C6" s="21"/>
      <c r="D6" s="21"/>
      <c r="E6" s="21"/>
      <c r="F6" s="21"/>
    </row>
    <row r="7" customFormat="false" ht="15" hidden="false" customHeight="false" outlineLevel="0" collapsed="false">
      <c r="A7" s="9" t="s">
        <v>138</v>
      </c>
      <c r="B7" s="9" t="s">
        <v>139</v>
      </c>
      <c r="C7" s="9" t="s">
        <v>140</v>
      </c>
      <c r="D7" s="9" t="s">
        <v>141</v>
      </c>
      <c r="E7" s="9" t="s">
        <v>142</v>
      </c>
      <c r="F7" s="9" t="s">
        <v>143</v>
      </c>
    </row>
    <row r="8" customFormat="false" ht="15" hidden="false" customHeight="false" outlineLevel="0" collapsed="false">
      <c r="A8" s="11" t="s">
        <v>53</v>
      </c>
      <c r="B8" s="11" t="s">
        <v>144</v>
      </c>
      <c r="C8" s="11" t="s">
        <v>145</v>
      </c>
      <c r="D8" s="11" t="s">
        <v>146</v>
      </c>
      <c r="E8" s="22" t="s">
        <v>147</v>
      </c>
      <c r="F8" s="11" t="s">
        <v>743</v>
      </c>
    </row>
    <row r="9" customFormat="false" ht="15" hidden="false" customHeight="false" outlineLevel="0" collapsed="false">
      <c r="A9" s="14" t="s">
        <v>114</v>
      </c>
      <c r="B9" s="14" t="s">
        <v>216</v>
      </c>
      <c r="C9" s="14" t="s">
        <v>145</v>
      </c>
      <c r="D9" s="14"/>
      <c r="E9" s="29" t="s">
        <v>594</v>
      </c>
      <c r="F9" s="14" t="s">
        <v>744</v>
      </c>
    </row>
    <row r="10" customFormat="false" ht="15" hidden="false" customHeight="false" outlineLevel="0" collapsed="false">
      <c r="A10" s="11" t="s">
        <v>123</v>
      </c>
      <c r="B10" s="11" t="s">
        <v>216</v>
      </c>
      <c r="C10" s="11" t="s">
        <v>222</v>
      </c>
      <c r="D10" s="11"/>
      <c r="E10" s="29" t="s">
        <v>615</v>
      </c>
      <c r="F10" s="11" t="s">
        <v>745</v>
      </c>
    </row>
    <row r="11" customFormat="false" ht="15" hidden="false" customHeight="false" outlineLevel="0" collapsed="false">
      <c r="A11" s="14" t="s">
        <v>125</v>
      </c>
      <c r="B11" s="14" t="s">
        <v>216</v>
      </c>
      <c r="C11" s="14" t="s">
        <v>222</v>
      </c>
      <c r="D11" s="14"/>
      <c r="E11" s="29" t="s">
        <v>615</v>
      </c>
      <c r="F11" s="14" t="s">
        <v>746</v>
      </c>
    </row>
    <row r="12" customFormat="false" ht="23.85" hidden="false" customHeight="false" outlineLevel="0" collapsed="false">
      <c r="A12" s="11" t="s">
        <v>747</v>
      </c>
      <c r="B12" s="11" t="s">
        <v>255</v>
      </c>
      <c r="C12" s="11" t="s">
        <v>145</v>
      </c>
      <c r="D12" s="11"/>
      <c r="E12" s="11" t="s">
        <v>355</v>
      </c>
      <c r="F12" s="11" t="s">
        <v>748</v>
      </c>
    </row>
    <row r="13" customFormat="false" ht="15" hidden="false" customHeight="false" outlineLevel="0" collapsed="false">
      <c r="A13" s="14" t="s">
        <v>749</v>
      </c>
      <c r="B13" s="14" t="s">
        <v>350</v>
      </c>
      <c r="C13" s="14" t="s">
        <v>145</v>
      </c>
      <c r="D13" s="14" t="s">
        <v>750</v>
      </c>
      <c r="E13" s="14" t="s">
        <v>355</v>
      </c>
      <c r="F13" s="14" t="s">
        <v>751</v>
      </c>
    </row>
    <row r="14" customFormat="false" ht="15" hidden="false" customHeight="false" outlineLevel="0" collapsed="false">
      <c r="A14" s="11" t="s">
        <v>353</v>
      </c>
      <c r="B14" s="11" t="s">
        <v>350</v>
      </c>
      <c r="C14" s="11" t="s">
        <v>145</v>
      </c>
      <c r="D14" s="11" t="s">
        <v>752</v>
      </c>
      <c r="E14" s="11" t="s">
        <v>355</v>
      </c>
      <c r="F14" s="11" t="s">
        <v>753</v>
      </c>
    </row>
    <row r="15" customFormat="false" ht="15" hidden="false" customHeight="false" outlineLevel="0" collapsed="false">
      <c r="A15" s="14" t="s">
        <v>300</v>
      </c>
      <c r="B15" s="14" t="s">
        <v>258</v>
      </c>
      <c r="C15" s="14" t="s">
        <v>145</v>
      </c>
      <c r="D15" s="14"/>
      <c r="E15" s="14"/>
      <c r="F15" s="14" t="s">
        <v>754</v>
      </c>
    </row>
    <row r="16" customFormat="false" ht="15" hidden="false" customHeight="false" outlineLevel="0" collapsed="false">
      <c r="A16" s="11" t="s">
        <v>755</v>
      </c>
      <c r="B16" s="11" t="s">
        <v>258</v>
      </c>
      <c r="C16" s="11" t="s">
        <v>222</v>
      </c>
      <c r="D16" s="11"/>
      <c r="E16" s="11"/>
      <c r="F16" s="11" t="s">
        <v>756</v>
      </c>
    </row>
    <row r="17" customFormat="false" ht="15" hidden="false" customHeight="false" outlineLevel="0" collapsed="false">
      <c r="A17" s="14" t="s">
        <v>168</v>
      </c>
      <c r="B17" s="14" t="s">
        <v>169</v>
      </c>
      <c r="C17" s="14" t="s">
        <v>145</v>
      </c>
      <c r="D17" s="14" t="s">
        <v>170</v>
      </c>
      <c r="E17" s="14"/>
      <c r="F17" s="14" t="s">
        <v>757</v>
      </c>
    </row>
    <row r="18" customFormat="false" ht="15" hidden="false" customHeight="false" outlineLevel="0" collapsed="false">
      <c r="A18" s="11" t="s">
        <v>758</v>
      </c>
      <c r="B18" s="11" t="s">
        <v>169</v>
      </c>
      <c r="C18" s="11" t="s">
        <v>222</v>
      </c>
      <c r="D18" s="11"/>
      <c r="E18" s="11"/>
      <c r="F18" s="11" t="s">
        <v>759</v>
      </c>
    </row>
    <row r="20" customFormat="false" ht="19.5" hidden="false" customHeight="true" outlineLevel="0" collapsed="false">
      <c r="A20" s="20" t="s">
        <v>174</v>
      </c>
      <c r="B20" s="21"/>
      <c r="C20" s="21"/>
      <c r="D20" s="21"/>
      <c r="E20" s="21"/>
      <c r="F20" s="21"/>
    </row>
    <row r="21" customFormat="false" ht="15" hidden="false" customHeight="false" outlineLevel="0" collapsed="false">
      <c r="A21" s="9" t="s">
        <v>175</v>
      </c>
      <c r="B21" s="9" t="s">
        <v>176</v>
      </c>
      <c r="C21" s="9" t="s">
        <v>177</v>
      </c>
      <c r="D21" s="9" t="s">
        <v>178</v>
      </c>
      <c r="E21" s="9" t="s">
        <v>86</v>
      </c>
      <c r="F21" s="9" t="s">
        <v>179</v>
      </c>
    </row>
    <row r="22" customFormat="false" ht="15" hidden="false" customHeight="false" outlineLevel="0" collapsed="false">
      <c r="A22" s="11" t="s">
        <v>229</v>
      </c>
      <c r="B22" s="11" t="s">
        <v>114</v>
      </c>
      <c r="C22" s="11" t="s">
        <v>106</v>
      </c>
      <c r="D22" s="11" t="s">
        <v>53</v>
      </c>
      <c r="E22" s="11" t="s">
        <v>92</v>
      </c>
      <c r="F22" s="11" t="s">
        <v>438</v>
      </c>
    </row>
    <row r="23" customFormat="false" ht="15" hidden="false" customHeight="false" outlineLevel="0" collapsed="false">
      <c r="A23" s="14" t="s">
        <v>229</v>
      </c>
      <c r="B23" s="14" t="s">
        <v>123</v>
      </c>
      <c r="C23" s="14" t="s">
        <v>108</v>
      </c>
      <c r="D23" s="14" t="s">
        <v>53</v>
      </c>
      <c r="E23" s="14" t="s">
        <v>110</v>
      </c>
      <c r="F23" s="14" t="s">
        <v>522</v>
      </c>
    </row>
    <row r="24" customFormat="false" ht="15" hidden="false" customHeight="false" outlineLevel="0" collapsed="false">
      <c r="A24" s="11" t="s">
        <v>229</v>
      </c>
      <c r="B24" s="11" t="s">
        <v>125</v>
      </c>
      <c r="C24" s="11" t="s">
        <v>108</v>
      </c>
      <c r="D24" s="11" t="s">
        <v>53</v>
      </c>
      <c r="E24" s="11" t="s">
        <v>110</v>
      </c>
      <c r="F24" s="11" t="s">
        <v>523</v>
      </c>
    </row>
    <row r="26" customFormat="false" ht="19.5" hidden="false" customHeight="true" outlineLevel="0" collapsed="false">
      <c r="A26" s="20" t="s">
        <v>184</v>
      </c>
      <c r="B26" s="21"/>
      <c r="C26" s="21"/>
      <c r="D26" s="21"/>
      <c r="E26" s="21"/>
      <c r="F26" s="21"/>
    </row>
    <row r="27" customFormat="false" ht="15" hidden="false" customHeight="true" outlineLevel="0" collapsed="false">
      <c r="A27" s="9" t="s">
        <v>185</v>
      </c>
      <c r="B27" s="9" t="s">
        <v>42</v>
      </c>
      <c r="C27" s="9" t="s">
        <v>186</v>
      </c>
      <c r="D27" s="9"/>
      <c r="E27" s="9"/>
      <c r="F27" s="9" t="s">
        <v>43</v>
      </c>
    </row>
    <row r="28" customFormat="false" ht="15" hidden="false" customHeight="true" outlineLevel="0" collapsed="false">
      <c r="A28" s="11" t="s">
        <v>760</v>
      </c>
      <c r="B28" s="11" t="s">
        <v>188</v>
      </c>
      <c r="C28" s="11" t="s">
        <v>189</v>
      </c>
      <c r="D28" s="11"/>
      <c r="E28" s="11"/>
      <c r="F28" s="11" t="s">
        <v>190</v>
      </c>
    </row>
    <row r="29" customFormat="false" ht="30" hidden="false" customHeight="true" outlineLevel="0" collapsed="false">
      <c r="A29" s="14" t="s">
        <v>761</v>
      </c>
      <c r="B29" s="14" t="s">
        <v>355</v>
      </c>
      <c r="C29" s="14" t="s">
        <v>762</v>
      </c>
      <c r="D29" s="14"/>
      <c r="E29" s="14"/>
      <c r="F29" s="14" t="s">
        <v>763</v>
      </c>
    </row>
    <row r="30" customFormat="false" ht="15" hidden="false" customHeight="true" outlineLevel="0" collapsed="false">
      <c r="A30" s="11" t="s">
        <v>764</v>
      </c>
      <c r="B30" s="11" t="s">
        <v>355</v>
      </c>
      <c r="C30" s="11" t="s">
        <v>765</v>
      </c>
      <c r="D30" s="11"/>
      <c r="E30" s="11"/>
      <c r="F30" s="11" t="s">
        <v>766</v>
      </c>
    </row>
    <row r="31" customFormat="false" ht="15" hidden="false" customHeight="true" outlineLevel="0" collapsed="false">
      <c r="A31" s="14" t="s">
        <v>767</v>
      </c>
      <c r="B31" s="14" t="s">
        <v>355</v>
      </c>
      <c r="C31" s="14" t="s">
        <v>768</v>
      </c>
      <c r="D31" s="14"/>
      <c r="E31" s="14"/>
      <c r="F31" s="14" t="s">
        <v>769</v>
      </c>
    </row>
    <row r="33" customFormat="false" ht="19.5" hidden="false" customHeight="true" outlineLevel="0" collapsed="false">
      <c r="A33" s="20" t="s">
        <v>196</v>
      </c>
      <c r="B33" s="21"/>
      <c r="C33" s="21"/>
      <c r="D33" s="21"/>
      <c r="E33" s="21"/>
      <c r="F33" s="21"/>
    </row>
    <row r="34" customFormat="false" ht="15" hidden="false" customHeight="true" outlineLevel="0" collapsed="false">
      <c r="A34" s="9" t="s">
        <v>197</v>
      </c>
      <c r="B34" s="9" t="s">
        <v>42</v>
      </c>
      <c r="C34" s="9" t="s">
        <v>198</v>
      </c>
      <c r="D34" s="9"/>
      <c r="E34" s="9"/>
      <c r="F34" s="9" t="s">
        <v>43</v>
      </c>
    </row>
    <row r="35" customFormat="false" ht="15" hidden="false" customHeight="false" outlineLevel="0" collapsed="false">
      <c r="A35" s="11" t="s">
        <v>199</v>
      </c>
      <c r="B35" s="11"/>
      <c r="C35" s="11"/>
      <c r="D35" s="11"/>
      <c r="E35" s="11"/>
      <c r="F35" s="11" t="s">
        <v>200</v>
      </c>
    </row>
    <row r="37" customFormat="false" ht="19.5" hidden="false" customHeight="true" outlineLevel="0" collapsed="false">
      <c r="A37" s="20" t="s">
        <v>770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customFormat="false" ht="15" hidden="false" customHeight="false" outlineLevel="0" collapsed="false">
      <c r="A38" s="9" t="s">
        <v>53</v>
      </c>
      <c r="B38" s="9" t="s">
        <v>114</v>
      </c>
      <c r="C38" s="9" t="s">
        <v>123</v>
      </c>
      <c r="D38" s="9" t="s">
        <v>125</v>
      </c>
      <c r="E38" s="9" t="s">
        <v>747</v>
      </c>
      <c r="F38" s="9" t="s">
        <v>749</v>
      </c>
      <c r="G38" s="9" t="s">
        <v>353</v>
      </c>
      <c r="H38" s="9" t="s">
        <v>300</v>
      </c>
      <c r="I38" s="9" t="s">
        <v>755</v>
      </c>
      <c r="J38" s="9" t="s">
        <v>168</v>
      </c>
      <c r="K38" s="9" t="s">
        <v>758</v>
      </c>
    </row>
    <row r="39" customFormat="false" ht="15" hidden="false" customHeight="false" outlineLevel="0" collapsed="false">
      <c r="A39" s="23" t="n">
        <v>1</v>
      </c>
      <c r="B39" s="23" t="n">
        <v>105</v>
      </c>
      <c r="C39" s="23" t="n">
        <v>3</v>
      </c>
      <c r="D39" s="23" t="n">
        <v>5</v>
      </c>
      <c r="E39" s="23" t="s">
        <v>771</v>
      </c>
      <c r="F39" s="23" t="s">
        <v>772</v>
      </c>
      <c r="G39" s="23" t="s">
        <v>773</v>
      </c>
      <c r="H39" s="23" t="s">
        <v>774</v>
      </c>
      <c r="I39" s="23"/>
      <c r="J39" s="25" t="n">
        <v>46308.375</v>
      </c>
      <c r="K39" s="23"/>
    </row>
    <row r="40" customFormat="false" ht="15" hidden="false" customHeight="false" outlineLevel="0" collapsed="false">
      <c r="A40" s="26" t="n">
        <v>2</v>
      </c>
      <c r="B40" s="26" t="n">
        <v>304</v>
      </c>
      <c r="C40" s="26" t="n">
        <v>4</v>
      </c>
      <c r="D40" s="26" t="n">
        <v>5</v>
      </c>
      <c r="E40" s="26" t="s">
        <v>775</v>
      </c>
      <c r="F40" s="26" t="s">
        <v>776</v>
      </c>
      <c r="G40" s="26" t="s">
        <v>777</v>
      </c>
      <c r="H40" s="26" t="s">
        <v>778</v>
      </c>
      <c r="I40" s="26"/>
      <c r="J40" s="28" t="n">
        <v>46307.1458333333</v>
      </c>
      <c r="K40" s="26"/>
    </row>
    <row r="41" customFormat="false" ht="15" hidden="false" customHeight="false" outlineLevel="0" collapsed="false">
      <c r="A41" s="23" t="n">
        <v>3</v>
      </c>
      <c r="B41" s="23" t="n">
        <v>704</v>
      </c>
      <c r="C41" s="23" t="n">
        <v>7</v>
      </c>
      <c r="D41" s="23" t="n">
        <v>11</v>
      </c>
      <c r="E41" s="23" t="s">
        <v>779</v>
      </c>
      <c r="F41" s="23" t="s">
        <v>772</v>
      </c>
      <c r="G41" s="23" t="s">
        <v>777</v>
      </c>
      <c r="H41" s="23" t="s">
        <v>780</v>
      </c>
      <c r="I41" s="23"/>
      <c r="J41" s="25" t="n">
        <v>46308.5833333333</v>
      </c>
      <c r="K41" s="23"/>
    </row>
    <row r="42" customFormat="false" ht="15" hidden="false" customHeight="false" outlineLevel="0" collapsed="false">
      <c r="A42" s="26" t="n">
        <v>4</v>
      </c>
      <c r="B42" s="26" t="n">
        <v>204</v>
      </c>
      <c r="C42" s="26" t="n">
        <v>3</v>
      </c>
      <c r="D42" s="26" t="n">
        <v>5</v>
      </c>
      <c r="E42" s="26" t="s">
        <v>781</v>
      </c>
      <c r="F42" s="26" t="s">
        <v>782</v>
      </c>
      <c r="G42" s="26" t="s">
        <v>783</v>
      </c>
      <c r="H42" s="26" t="s">
        <v>784</v>
      </c>
      <c r="I42" s="26" t="s">
        <v>785</v>
      </c>
      <c r="J42" s="28" t="n">
        <v>46308.5763888889</v>
      </c>
      <c r="K42" s="28" t="n">
        <v>46309.3125</v>
      </c>
    </row>
    <row r="43" customFormat="false" ht="15" hidden="false" customHeight="false" outlineLevel="0" collapsed="false">
      <c r="A43" s="23" t="n">
        <v>5</v>
      </c>
      <c r="B43" s="23" t="n">
        <v>202</v>
      </c>
      <c r="C43" s="23" t="n">
        <v>3</v>
      </c>
      <c r="D43" s="23" t="n">
        <v>5</v>
      </c>
      <c r="E43" s="23" t="s">
        <v>786</v>
      </c>
      <c r="F43" s="23" t="s">
        <v>776</v>
      </c>
      <c r="G43" s="23" t="s">
        <v>787</v>
      </c>
      <c r="H43" s="23" t="s">
        <v>788</v>
      </c>
      <c r="I43" s="23" t="s">
        <v>789</v>
      </c>
      <c r="J43" s="25" t="n">
        <v>46301.4166666667</v>
      </c>
      <c r="K43" s="25" t="n">
        <v>46303.625</v>
      </c>
    </row>
    <row r="44" customFormat="false" ht="15" hidden="false" customHeight="false" outlineLevel="0" collapsed="false">
      <c r="A44" s="26" t="n">
        <v>6</v>
      </c>
      <c r="B44" s="26" t="n">
        <v>901</v>
      </c>
      <c r="C44" s="26" t="n">
        <v>9</v>
      </c>
      <c r="D44" s="26" t="n">
        <v>10</v>
      </c>
      <c r="E44" s="26" t="s">
        <v>790</v>
      </c>
      <c r="F44" s="26" t="s">
        <v>791</v>
      </c>
      <c r="G44" s="26" t="s">
        <v>787</v>
      </c>
      <c r="H44" s="26" t="s">
        <v>792</v>
      </c>
      <c r="I44" s="26" t="s">
        <v>793</v>
      </c>
      <c r="J44" s="28" t="n">
        <v>46297.3958333333</v>
      </c>
      <c r="K44" s="28" t="n">
        <v>46300.5</v>
      </c>
    </row>
    <row r="45" customFormat="false" ht="15" hidden="false" customHeight="false" outlineLevel="0" collapsed="false">
      <c r="A45" s="23" t="n">
        <v>7</v>
      </c>
      <c r="B45" s="23" t="n">
        <v>501</v>
      </c>
      <c r="C45" s="23" t="n">
        <v>6</v>
      </c>
      <c r="D45" s="23" t="n">
        <v>11</v>
      </c>
      <c r="E45" s="23" t="s">
        <v>779</v>
      </c>
      <c r="F45" s="23" t="s">
        <v>776</v>
      </c>
      <c r="G45" s="23" t="s">
        <v>777</v>
      </c>
      <c r="H45" s="23" t="s">
        <v>794</v>
      </c>
      <c r="I45" s="23"/>
      <c r="J45" s="25" t="n">
        <v>46309.3263888889</v>
      </c>
      <c r="K45" s="23"/>
    </row>
    <row r="46" customFormat="false" ht="15" hidden="false" customHeight="false" outlineLevel="0" collapsed="false">
      <c r="A46" s="26" t="n">
        <v>8</v>
      </c>
      <c r="B46" s="26" t="n">
        <v>1001</v>
      </c>
      <c r="C46" s="26" t="n">
        <v>10</v>
      </c>
      <c r="D46" s="26"/>
      <c r="E46" s="26" t="s">
        <v>795</v>
      </c>
      <c r="F46" s="26" t="s">
        <v>791</v>
      </c>
      <c r="G46" s="26" t="s">
        <v>777</v>
      </c>
      <c r="H46" s="26" t="s">
        <v>796</v>
      </c>
      <c r="I46" s="26"/>
      <c r="J46" s="28" t="n">
        <v>46309.3472222222</v>
      </c>
      <c r="K46" s="26"/>
    </row>
  </sheetData>
  <mergeCells count="7">
    <mergeCell ref="C27:E27"/>
    <mergeCell ref="C28:E28"/>
    <mergeCell ref="C29:E29"/>
    <mergeCell ref="C30:E30"/>
    <mergeCell ref="C31:E31"/>
    <mergeCell ref="C34:E34"/>
    <mergeCell ref="C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1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60"/>
    <col collapsed="false" customWidth="true" hidden="false" outlineLevel="0" max="7" min="7" style="0" width="42"/>
    <col collapsed="false" customWidth="true" hidden="false" outlineLevel="0" max="8" min="8" style="0" width="29"/>
  </cols>
  <sheetData>
    <row r="1" customFormat="false" ht="19.7" hidden="false" customHeight="false" outlineLevel="0" collapsed="false">
      <c r="A1" s="16" t="s">
        <v>797</v>
      </c>
    </row>
    <row r="2" customFormat="false" ht="15" hidden="false" customHeight="false" outlineLevel="0" collapsed="false">
      <c r="A2" s="17" t="s">
        <v>798</v>
      </c>
    </row>
    <row r="3" customFormat="false" ht="15" hidden="false" customHeight="false" outlineLevel="0" collapsed="false">
      <c r="A3" s="18" t="s">
        <v>799</v>
      </c>
    </row>
    <row r="4" customFormat="false" ht="15" hidden="false" customHeight="false" outlineLevel="0" collapsed="false">
      <c r="A4" s="19" t="str">
        <f aca="false">HYPERLINK("#Tables!A1","&lt;&lt; Back to Tables index")</f>
        <v>&lt;&lt; Back to Tables index</v>
      </c>
    </row>
    <row r="6" customFormat="false" ht="19.5" hidden="false" customHeight="true" outlineLevel="0" collapsed="false">
      <c r="A6" s="20" t="s">
        <v>137</v>
      </c>
      <c r="B6" s="21"/>
      <c r="C6" s="21"/>
      <c r="D6" s="21"/>
      <c r="E6" s="21"/>
      <c r="F6" s="21"/>
    </row>
    <row r="7" customFormat="false" ht="15" hidden="false" customHeight="false" outlineLevel="0" collapsed="false">
      <c r="A7" s="9" t="s">
        <v>138</v>
      </c>
      <c r="B7" s="9" t="s">
        <v>139</v>
      </c>
      <c r="C7" s="9" t="s">
        <v>140</v>
      </c>
      <c r="D7" s="9" t="s">
        <v>141</v>
      </c>
      <c r="E7" s="9" t="s">
        <v>142</v>
      </c>
      <c r="F7" s="9" t="s">
        <v>143</v>
      </c>
    </row>
    <row r="8" customFormat="false" ht="15" hidden="false" customHeight="false" outlineLevel="0" collapsed="false">
      <c r="A8" s="11" t="s">
        <v>53</v>
      </c>
      <c r="B8" s="11" t="s">
        <v>592</v>
      </c>
      <c r="C8" s="11" t="s">
        <v>145</v>
      </c>
      <c r="D8" s="11" t="s">
        <v>146</v>
      </c>
      <c r="E8" s="22" t="s">
        <v>800</v>
      </c>
      <c r="F8" s="11" t="s">
        <v>801</v>
      </c>
    </row>
    <row r="9" customFormat="false" ht="15" hidden="false" customHeight="false" outlineLevel="0" collapsed="false">
      <c r="A9" s="14" t="s">
        <v>114</v>
      </c>
      <c r="B9" s="14" t="s">
        <v>216</v>
      </c>
      <c r="C9" s="14" t="s">
        <v>145</v>
      </c>
      <c r="D9" s="14"/>
      <c r="E9" s="14" t="s">
        <v>802</v>
      </c>
      <c r="F9" s="14" t="s">
        <v>803</v>
      </c>
    </row>
    <row r="10" customFormat="false" ht="15" hidden="false" customHeight="false" outlineLevel="0" collapsed="false">
      <c r="A10" s="11" t="s">
        <v>131</v>
      </c>
      <c r="B10" s="11" t="s">
        <v>804</v>
      </c>
      <c r="C10" s="11" t="s">
        <v>222</v>
      </c>
      <c r="D10" s="11"/>
      <c r="E10" s="11" t="s">
        <v>805</v>
      </c>
      <c r="F10" s="11" t="s">
        <v>806</v>
      </c>
    </row>
    <row r="11" customFormat="false" ht="23.85" hidden="false" customHeight="false" outlineLevel="0" collapsed="false">
      <c r="A11" s="14" t="s">
        <v>807</v>
      </c>
      <c r="B11" s="14" t="s">
        <v>808</v>
      </c>
      <c r="C11" s="14" t="s">
        <v>145</v>
      </c>
      <c r="D11" s="14"/>
      <c r="E11" s="14"/>
      <c r="F11" s="14" t="s">
        <v>809</v>
      </c>
    </row>
    <row r="12" customFormat="false" ht="15" hidden="false" customHeight="false" outlineLevel="0" collapsed="false">
      <c r="A12" s="11" t="s">
        <v>810</v>
      </c>
      <c r="B12" s="11" t="s">
        <v>430</v>
      </c>
      <c r="C12" s="11" t="s">
        <v>145</v>
      </c>
      <c r="D12" s="11" t="s">
        <v>811</v>
      </c>
      <c r="E12" s="11" t="s">
        <v>355</v>
      </c>
      <c r="F12" s="11" t="s">
        <v>812</v>
      </c>
    </row>
    <row r="13" customFormat="false" ht="15" hidden="false" customHeight="false" outlineLevel="0" collapsed="false">
      <c r="A13" s="14" t="s">
        <v>133</v>
      </c>
      <c r="B13" s="14" t="s">
        <v>216</v>
      </c>
      <c r="C13" s="14" t="s">
        <v>222</v>
      </c>
      <c r="D13" s="14"/>
      <c r="E13" s="14" t="s">
        <v>813</v>
      </c>
      <c r="F13" s="14" t="s">
        <v>814</v>
      </c>
    </row>
    <row r="14" customFormat="false" ht="15" hidden="false" customHeight="false" outlineLevel="0" collapsed="false">
      <c r="A14" s="11" t="s">
        <v>815</v>
      </c>
      <c r="B14" s="11" t="s">
        <v>161</v>
      </c>
      <c r="C14" s="11" t="s">
        <v>222</v>
      </c>
      <c r="D14" s="11" t="s">
        <v>816</v>
      </c>
      <c r="E14" s="11"/>
      <c r="F14" s="11" t="s">
        <v>817</v>
      </c>
    </row>
    <row r="15" customFormat="false" ht="15" hidden="false" customHeight="false" outlineLevel="0" collapsed="false">
      <c r="A15" s="14" t="s">
        <v>168</v>
      </c>
      <c r="B15" s="14" t="s">
        <v>169</v>
      </c>
      <c r="C15" s="14" t="s">
        <v>145</v>
      </c>
      <c r="D15" s="14" t="s">
        <v>170</v>
      </c>
      <c r="E15" s="22" t="s">
        <v>800</v>
      </c>
      <c r="F15" s="14" t="s">
        <v>818</v>
      </c>
    </row>
    <row r="17" customFormat="false" ht="19.5" hidden="false" customHeight="true" outlineLevel="0" collapsed="false">
      <c r="A17" s="20" t="s">
        <v>174</v>
      </c>
      <c r="B17" s="21"/>
      <c r="C17" s="21"/>
      <c r="D17" s="21"/>
      <c r="E17" s="21"/>
      <c r="F17" s="21"/>
    </row>
    <row r="18" customFormat="false" ht="15" hidden="false" customHeight="false" outlineLevel="0" collapsed="false">
      <c r="A18" s="9" t="s">
        <v>175</v>
      </c>
      <c r="B18" s="9" t="s">
        <v>176</v>
      </c>
      <c r="C18" s="9" t="s">
        <v>177</v>
      </c>
      <c r="D18" s="9" t="s">
        <v>178</v>
      </c>
      <c r="E18" s="9" t="s">
        <v>86</v>
      </c>
      <c r="F18" s="9" t="s">
        <v>179</v>
      </c>
    </row>
    <row r="19" customFormat="false" ht="23.85" hidden="false" customHeight="false" outlineLevel="0" collapsed="false">
      <c r="A19" s="11" t="s">
        <v>229</v>
      </c>
      <c r="B19" s="11" t="s">
        <v>114</v>
      </c>
      <c r="C19" s="11" t="s">
        <v>106</v>
      </c>
      <c r="D19" s="11" t="s">
        <v>53</v>
      </c>
      <c r="E19" s="11" t="s">
        <v>128</v>
      </c>
      <c r="F19" s="11" t="s">
        <v>439</v>
      </c>
    </row>
    <row r="20" customFormat="false" ht="23.85" hidden="false" customHeight="false" outlineLevel="0" collapsed="false">
      <c r="A20" s="14" t="s">
        <v>229</v>
      </c>
      <c r="B20" s="14" t="s">
        <v>131</v>
      </c>
      <c r="C20" s="14" t="s">
        <v>113</v>
      </c>
      <c r="D20" s="14" t="s">
        <v>53</v>
      </c>
      <c r="E20" s="14" t="s">
        <v>128</v>
      </c>
      <c r="F20" s="14" t="s">
        <v>619</v>
      </c>
    </row>
    <row r="21" customFormat="false" ht="23.85" hidden="false" customHeight="false" outlineLevel="0" collapsed="false">
      <c r="A21" s="11" t="s">
        <v>229</v>
      </c>
      <c r="B21" s="11" t="s">
        <v>133</v>
      </c>
      <c r="C21" s="11" t="s">
        <v>108</v>
      </c>
      <c r="D21" s="11" t="s">
        <v>53</v>
      </c>
      <c r="E21" s="11" t="s">
        <v>128</v>
      </c>
      <c r="F21" s="11" t="s">
        <v>524</v>
      </c>
    </row>
    <row r="23" customFormat="false" ht="19.5" hidden="false" customHeight="true" outlineLevel="0" collapsed="false">
      <c r="A23" s="20" t="s">
        <v>184</v>
      </c>
      <c r="B23" s="21"/>
      <c r="C23" s="21"/>
      <c r="D23" s="21"/>
      <c r="E23" s="21"/>
      <c r="F23" s="21"/>
    </row>
    <row r="24" customFormat="false" ht="15" hidden="false" customHeight="true" outlineLevel="0" collapsed="false">
      <c r="A24" s="9" t="s">
        <v>185</v>
      </c>
      <c r="B24" s="9" t="s">
        <v>42</v>
      </c>
      <c r="C24" s="9" t="s">
        <v>186</v>
      </c>
      <c r="D24" s="9"/>
      <c r="E24" s="9"/>
      <c r="F24" s="9" t="s">
        <v>43</v>
      </c>
    </row>
    <row r="25" customFormat="false" ht="15" hidden="false" customHeight="true" outlineLevel="0" collapsed="false">
      <c r="A25" s="11" t="s">
        <v>819</v>
      </c>
      <c r="B25" s="11" t="s">
        <v>188</v>
      </c>
      <c r="C25" s="11" t="s">
        <v>69</v>
      </c>
      <c r="D25" s="11"/>
      <c r="E25" s="11"/>
      <c r="F25" s="11" t="s">
        <v>820</v>
      </c>
    </row>
    <row r="26" customFormat="false" ht="15" hidden="false" customHeight="true" outlineLevel="0" collapsed="false">
      <c r="A26" s="14" t="s">
        <v>821</v>
      </c>
      <c r="B26" s="14" t="s">
        <v>355</v>
      </c>
      <c r="C26" s="14" t="s">
        <v>822</v>
      </c>
      <c r="D26" s="14"/>
      <c r="E26" s="14"/>
      <c r="F26" s="14" t="s">
        <v>823</v>
      </c>
    </row>
    <row r="28" customFormat="false" ht="19.5" hidden="false" customHeight="true" outlineLevel="0" collapsed="false">
      <c r="A28" s="20" t="s">
        <v>196</v>
      </c>
      <c r="B28" s="21"/>
      <c r="C28" s="21"/>
      <c r="D28" s="21"/>
      <c r="E28" s="21"/>
      <c r="F28" s="21"/>
    </row>
    <row r="29" customFormat="false" ht="15" hidden="false" customHeight="true" outlineLevel="0" collapsed="false">
      <c r="A29" s="9" t="s">
        <v>197</v>
      </c>
      <c r="B29" s="9" t="s">
        <v>42</v>
      </c>
      <c r="C29" s="9" t="s">
        <v>198</v>
      </c>
      <c r="D29" s="9"/>
      <c r="E29" s="9"/>
      <c r="F29" s="9" t="s">
        <v>43</v>
      </c>
    </row>
    <row r="30" customFormat="false" ht="15" hidden="false" customHeight="true" outlineLevel="0" collapsed="false">
      <c r="A30" s="11" t="s">
        <v>824</v>
      </c>
      <c r="B30" s="11" t="s">
        <v>367</v>
      </c>
      <c r="C30" s="11" t="s">
        <v>825</v>
      </c>
      <c r="D30" s="11"/>
      <c r="E30" s="11"/>
      <c r="F30" s="11" t="s">
        <v>826</v>
      </c>
    </row>
    <row r="31" customFormat="false" ht="15" hidden="false" customHeight="true" outlineLevel="0" collapsed="false">
      <c r="A31" s="14" t="s">
        <v>827</v>
      </c>
      <c r="B31" s="14" t="s">
        <v>367</v>
      </c>
      <c r="C31" s="14" t="s">
        <v>828</v>
      </c>
      <c r="D31" s="14"/>
      <c r="E31" s="14"/>
      <c r="F31" s="14" t="s">
        <v>829</v>
      </c>
    </row>
    <row r="32" customFormat="false" ht="15" hidden="false" customHeight="true" outlineLevel="0" collapsed="false">
      <c r="A32" s="11" t="s">
        <v>830</v>
      </c>
      <c r="B32" s="11" t="s">
        <v>831</v>
      </c>
      <c r="C32" s="11" t="s">
        <v>832</v>
      </c>
      <c r="D32" s="11"/>
      <c r="E32" s="11"/>
      <c r="F32" s="11" t="s">
        <v>833</v>
      </c>
    </row>
    <row r="34" customFormat="false" ht="19.5" hidden="false" customHeight="true" outlineLevel="0" collapsed="false">
      <c r="A34" s="20" t="s">
        <v>834</v>
      </c>
      <c r="B34" s="21"/>
      <c r="C34" s="21"/>
      <c r="D34" s="21"/>
      <c r="E34" s="21"/>
      <c r="F34" s="21"/>
      <c r="G34" s="21"/>
      <c r="H34" s="21"/>
    </row>
    <row r="35" customFormat="false" ht="15" hidden="false" customHeight="false" outlineLevel="0" collapsed="false">
      <c r="A35" s="9" t="s">
        <v>53</v>
      </c>
      <c r="B35" s="9" t="s">
        <v>114</v>
      </c>
      <c r="C35" s="9" t="s">
        <v>131</v>
      </c>
      <c r="D35" s="9" t="s">
        <v>807</v>
      </c>
      <c r="E35" s="9" t="s">
        <v>810</v>
      </c>
      <c r="F35" s="9" t="s">
        <v>133</v>
      </c>
      <c r="G35" s="9" t="s">
        <v>815</v>
      </c>
      <c r="H35" s="9" t="s">
        <v>168</v>
      </c>
    </row>
    <row r="36" customFormat="false" ht="15" hidden="false" customHeight="false" outlineLevel="0" collapsed="false">
      <c r="A36" s="23" t="n">
        <v>1</v>
      </c>
      <c r="B36" s="23" t="n">
        <v>702</v>
      </c>
      <c r="C36" s="23" t="n">
        <v>23</v>
      </c>
      <c r="D36" s="23" t="s">
        <v>835</v>
      </c>
      <c r="E36" s="23" t="s">
        <v>836</v>
      </c>
      <c r="F36" s="23"/>
      <c r="G36" s="23" t="s">
        <v>837</v>
      </c>
      <c r="H36" s="25" t="n">
        <v>46304.7083333333</v>
      </c>
    </row>
    <row r="37" customFormat="false" ht="15" hidden="false" customHeight="false" outlineLevel="0" collapsed="false">
      <c r="A37" s="26" t="n">
        <v>2</v>
      </c>
      <c r="B37" s="26" t="n">
        <v>702</v>
      </c>
      <c r="C37" s="26" t="n">
        <v>23</v>
      </c>
      <c r="D37" s="26" t="s">
        <v>838</v>
      </c>
      <c r="E37" s="26" t="s">
        <v>839</v>
      </c>
      <c r="F37" s="26"/>
      <c r="G37" s="26" t="s">
        <v>840</v>
      </c>
      <c r="H37" s="28" t="n">
        <v>46304.7083368056</v>
      </c>
    </row>
    <row r="38" customFormat="false" ht="15" hidden="false" customHeight="false" outlineLevel="0" collapsed="false">
      <c r="A38" s="23" t="n">
        <v>3</v>
      </c>
      <c r="B38" s="23" t="n">
        <v>702</v>
      </c>
      <c r="C38" s="23" t="n">
        <v>23</v>
      </c>
      <c r="D38" s="23" t="s">
        <v>841</v>
      </c>
      <c r="E38" s="23" t="s">
        <v>836</v>
      </c>
      <c r="F38" s="23"/>
      <c r="G38" s="23" t="s">
        <v>842</v>
      </c>
      <c r="H38" s="25" t="n">
        <v>46304.75</v>
      </c>
    </row>
    <row r="39" customFormat="false" ht="15" hidden="false" customHeight="false" outlineLevel="0" collapsed="false">
      <c r="A39" s="26" t="n">
        <v>4</v>
      </c>
      <c r="B39" s="26" t="n">
        <v>702</v>
      </c>
      <c r="C39" s="26" t="n">
        <v>23</v>
      </c>
      <c r="D39" s="26" t="s">
        <v>843</v>
      </c>
      <c r="E39" s="26" t="s">
        <v>844</v>
      </c>
      <c r="F39" s="26"/>
      <c r="G39" s="26" t="s">
        <v>845</v>
      </c>
      <c r="H39" s="28" t="n">
        <v>46304.7500231482</v>
      </c>
    </row>
    <row r="40" customFormat="false" ht="15" hidden="false" customHeight="false" outlineLevel="0" collapsed="false">
      <c r="A40" s="23" t="n">
        <v>5</v>
      </c>
      <c r="B40" s="23" t="n">
        <v>401</v>
      </c>
      <c r="C40" s="23" t="n">
        <v>20</v>
      </c>
      <c r="D40" s="23" t="s">
        <v>835</v>
      </c>
      <c r="E40" s="23" t="s">
        <v>836</v>
      </c>
      <c r="F40" s="23"/>
      <c r="G40" s="23" t="s">
        <v>846</v>
      </c>
      <c r="H40" s="25" t="n">
        <v>46305.2916666667</v>
      </c>
    </row>
    <row r="41" customFormat="false" ht="15" hidden="false" customHeight="false" outlineLevel="0" collapsed="false">
      <c r="A41" s="26" t="n">
        <v>6</v>
      </c>
      <c r="B41" s="26" t="n">
        <v>401</v>
      </c>
      <c r="C41" s="26" t="n">
        <v>20</v>
      </c>
      <c r="D41" s="26" t="s">
        <v>838</v>
      </c>
      <c r="E41" s="26" t="s">
        <v>839</v>
      </c>
      <c r="F41" s="26"/>
      <c r="G41" s="26" t="s">
        <v>847</v>
      </c>
      <c r="H41" s="28" t="n">
        <v>46305.2916701389</v>
      </c>
    </row>
    <row r="42" customFormat="false" ht="15" hidden="false" customHeight="false" outlineLevel="0" collapsed="false">
      <c r="A42" s="23" t="n">
        <v>7</v>
      </c>
      <c r="B42" s="23" t="n">
        <v>401</v>
      </c>
      <c r="C42" s="23" t="n">
        <v>20</v>
      </c>
      <c r="D42" s="23" t="s">
        <v>841</v>
      </c>
      <c r="E42" s="23" t="s">
        <v>836</v>
      </c>
      <c r="F42" s="23"/>
      <c r="G42" s="23" t="s">
        <v>842</v>
      </c>
      <c r="H42" s="25" t="n">
        <v>46305.375</v>
      </c>
    </row>
    <row r="43" customFormat="false" ht="15" hidden="false" customHeight="false" outlineLevel="0" collapsed="false">
      <c r="A43" s="26" t="n">
        <v>8</v>
      </c>
      <c r="B43" s="26" t="n">
        <v>401</v>
      </c>
      <c r="C43" s="26" t="n">
        <v>20</v>
      </c>
      <c r="D43" s="26" t="s">
        <v>843</v>
      </c>
      <c r="E43" s="26" t="s">
        <v>844</v>
      </c>
      <c r="F43" s="26"/>
      <c r="G43" s="26" t="s">
        <v>845</v>
      </c>
      <c r="H43" s="28" t="n">
        <v>46305.3750231482</v>
      </c>
    </row>
    <row r="44" customFormat="false" ht="15" hidden="false" customHeight="false" outlineLevel="0" collapsed="false">
      <c r="A44" s="23" t="n">
        <v>9</v>
      </c>
      <c r="B44" s="23" t="n">
        <v>103</v>
      </c>
      <c r="C44" s="23" t="n">
        <v>15</v>
      </c>
      <c r="D44" s="23" t="s">
        <v>835</v>
      </c>
      <c r="E44" s="23" t="s">
        <v>836</v>
      </c>
      <c r="F44" s="23"/>
      <c r="G44" s="23" t="s">
        <v>848</v>
      </c>
      <c r="H44" s="25" t="n">
        <v>46306.3333333333</v>
      </c>
    </row>
    <row r="45" customFormat="false" ht="15" hidden="false" customHeight="false" outlineLevel="0" collapsed="false">
      <c r="A45" s="26" t="n">
        <v>10</v>
      </c>
      <c r="B45" s="26" t="n">
        <v>103</v>
      </c>
      <c r="C45" s="26" t="n">
        <v>15</v>
      </c>
      <c r="D45" s="26" t="s">
        <v>838</v>
      </c>
      <c r="E45" s="26" t="s">
        <v>839</v>
      </c>
      <c r="F45" s="26"/>
      <c r="G45" s="26" t="s">
        <v>849</v>
      </c>
      <c r="H45" s="28" t="n">
        <v>46306.3333368056</v>
      </c>
    </row>
    <row r="46" customFormat="false" ht="15" hidden="false" customHeight="false" outlineLevel="0" collapsed="false">
      <c r="A46" s="23" t="n">
        <v>11</v>
      </c>
      <c r="B46" s="23" t="n">
        <v>103</v>
      </c>
      <c r="C46" s="23" t="n">
        <v>15</v>
      </c>
      <c r="D46" s="23" t="s">
        <v>850</v>
      </c>
      <c r="E46" s="23" t="s">
        <v>851</v>
      </c>
      <c r="F46" s="23" t="n">
        <v>1</v>
      </c>
      <c r="G46" s="23" t="s">
        <v>852</v>
      </c>
      <c r="H46" s="25" t="n">
        <v>46306.3368055556</v>
      </c>
    </row>
    <row r="47" customFormat="false" ht="15" hidden="false" customHeight="false" outlineLevel="0" collapsed="false">
      <c r="A47" s="26" t="n">
        <v>12</v>
      </c>
      <c r="B47" s="26" t="n">
        <v>304</v>
      </c>
      <c r="C47" s="26"/>
      <c r="D47" s="26" t="s">
        <v>853</v>
      </c>
      <c r="E47" s="26" t="s">
        <v>854</v>
      </c>
      <c r="F47" s="26"/>
      <c r="G47" s="26" t="s">
        <v>855</v>
      </c>
      <c r="H47" s="28" t="n">
        <v>46307.1388888889</v>
      </c>
    </row>
    <row r="48" customFormat="false" ht="15" hidden="false" customHeight="false" outlineLevel="0" collapsed="false">
      <c r="A48" s="23" t="n">
        <v>13</v>
      </c>
      <c r="B48" s="23" t="n">
        <v>101</v>
      </c>
      <c r="C48" s="23" t="n">
        <v>13</v>
      </c>
      <c r="D48" s="23" t="s">
        <v>835</v>
      </c>
      <c r="E48" s="23" t="s">
        <v>836</v>
      </c>
      <c r="F48" s="23"/>
      <c r="G48" s="23" t="s">
        <v>856</v>
      </c>
      <c r="H48" s="25" t="n">
        <v>46307.3819444445</v>
      </c>
    </row>
    <row r="49" customFormat="false" ht="15" hidden="false" customHeight="false" outlineLevel="0" collapsed="false">
      <c r="A49" s="26" t="n">
        <v>14</v>
      </c>
      <c r="B49" s="26" t="n">
        <v>101</v>
      </c>
      <c r="C49" s="26" t="n">
        <v>13</v>
      </c>
      <c r="D49" s="26" t="s">
        <v>838</v>
      </c>
      <c r="E49" s="26" t="s">
        <v>839</v>
      </c>
      <c r="F49" s="26"/>
      <c r="G49" s="26" t="s">
        <v>857</v>
      </c>
      <c r="H49" s="28" t="n">
        <v>46307.3819479167</v>
      </c>
    </row>
    <row r="50" customFormat="false" ht="15" hidden="false" customHeight="false" outlineLevel="0" collapsed="false">
      <c r="A50" s="23" t="n">
        <v>15</v>
      </c>
      <c r="B50" s="23" t="n">
        <v>301</v>
      </c>
      <c r="C50" s="23" t="n">
        <v>18</v>
      </c>
      <c r="D50" s="23" t="s">
        <v>835</v>
      </c>
      <c r="E50" s="23" t="s">
        <v>836</v>
      </c>
      <c r="F50" s="23"/>
      <c r="G50" s="23" t="s">
        <v>858</v>
      </c>
      <c r="H50" s="25" t="n">
        <v>46307.3958333333</v>
      </c>
    </row>
    <row r="51" customFormat="false" ht="15" hidden="false" customHeight="false" outlineLevel="0" collapsed="false">
      <c r="A51" s="26" t="n">
        <v>16</v>
      </c>
      <c r="B51" s="26" t="n">
        <v>301</v>
      </c>
      <c r="C51" s="26" t="n">
        <v>18</v>
      </c>
      <c r="D51" s="26" t="s">
        <v>838</v>
      </c>
      <c r="E51" s="26" t="s">
        <v>839</v>
      </c>
      <c r="F51" s="26"/>
      <c r="G51" s="26" t="s">
        <v>859</v>
      </c>
      <c r="H51" s="28" t="n">
        <v>46307.3958368056</v>
      </c>
    </row>
    <row r="52" customFormat="false" ht="15" hidden="false" customHeight="false" outlineLevel="0" collapsed="false">
      <c r="A52" s="23" t="n">
        <v>17</v>
      </c>
      <c r="B52" s="23" t="n">
        <v>201</v>
      </c>
      <c r="C52" s="23" t="n">
        <v>16</v>
      </c>
      <c r="D52" s="23" t="s">
        <v>835</v>
      </c>
      <c r="E52" s="23" t="s">
        <v>836</v>
      </c>
      <c r="F52" s="23"/>
      <c r="G52" s="23" t="s">
        <v>860</v>
      </c>
      <c r="H52" s="25" t="n">
        <v>46307.4166666667</v>
      </c>
    </row>
    <row r="53" customFormat="false" ht="15" hidden="false" customHeight="false" outlineLevel="0" collapsed="false">
      <c r="A53" s="26" t="n">
        <v>18</v>
      </c>
      <c r="B53" s="26" t="n">
        <v>201</v>
      </c>
      <c r="C53" s="26" t="n">
        <v>16</v>
      </c>
      <c r="D53" s="26" t="s">
        <v>838</v>
      </c>
      <c r="E53" s="26" t="s">
        <v>839</v>
      </c>
      <c r="F53" s="26"/>
      <c r="G53" s="26" t="s">
        <v>861</v>
      </c>
      <c r="H53" s="28" t="n">
        <v>46307.4166701389</v>
      </c>
    </row>
    <row r="54" customFormat="false" ht="15" hidden="false" customHeight="false" outlineLevel="0" collapsed="false">
      <c r="A54" s="23" t="n">
        <v>19</v>
      </c>
      <c r="B54" s="23" t="n">
        <v>101</v>
      </c>
      <c r="C54" s="23" t="n">
        <v>13</v>
      </c>
      <c r="D54" s="23" t="s">
        <v>841</v>
      </c>
      <c r="E54" s="23" t="s">
        <v>836</v>
      </c>
      <c r="F54" s="23"/>
      <c r="G54" s="23" t="s">
        <v>842</v>
      </c>
      <c r="H54" s="25" t="n">
        <v>46307.4861111111</v>
      </c>
    </row>
    <row r="55" customFormat="false" ht="15" hidden="false" customHeight="false" outlineLevel="0" collapsed="false">
      <c r="A55" s="26" t="n">
        <v>20</v>
      </c>
      <c r="B55" s="26" t="n">
        <v>101</v>
      </c>
      <c r="C55" s="26" t="n">
        <v>13</v>
      </c>
      <c r="D55" s="26" t="s">
        <v>843</v>
      </c>
      <c r="E55" s="26" t="s">
        <v>844</v>
      </c>
      <c r="F55" s="26"/>
      <c r="G55" s="26" t="s">
        <v>845</v>
      </c>
      <c r="H55" s="28" t="n">
        <v>46307.4861342593</v>
      </c>
    </row>
    <row r="56" customFormat="false" ht="15" hidden="false" customHeight="false" outlineLevel="0" collapsed="false">
      <c r="A56" s="23" t="n">
        <v>21</v>
      </c>
      <c r="B56" s="23" t="n">
        <v>301</v>
      </c>
      <c r="C56" s="23" t="n">
        <v>18</v>
      </c>
      <c r="D56" s="23" t="s">
        <v>841</v>
      </c>
      <c r="E56" s="23" t="s">
        <v>836</v>
      </c>
      <c r="F56" s="23"/>
      <c r="G56" s="23" t="s">
        <v>842</v>
      </c>
      <c r="H56" s="25" t="n">
        <v>46307.5</v>
      </c>
    </row>
    <row r="57" customFormat="false" ht="15" hidden="false" customHeight="false" outlineLevel="0" collapsed="false">
      <c r="A57" s="26" t="n">
        <v>22</v>
      </c>
      <c r="B57" s="26" t="n">
        <v>301</v>
      </c>
      <c r="C57" s="26" t="n">
        <v>18</v>
      </c>
      <c r="D57" s="26" t="s">
        <v>843</v>
      </c>
      <c r="E57" s="26" t="s">
        <v>844</v>
      </c>
      <c r="F57" s="26"/>
      <c r="G57" s="26" t="s">
        <v>845</v>
      </c>
      <c r="H57" s="28" t="n">
        <v>46307.5000231482</v>
      </c>
    </row>
    <row r="58" customFormat="false" ht="15" hidden="false" customHeight="false" outlineLevel="0" collapsed="false">
      <c r="A58" s="23" t="n">
        <v>23</v>
      </c>
      <c r="B58" s="23" t="n">
        <v>601</v>
      </c>
      <c r="C58" s="23" t="n">
        <v>22</v>
      </c>
      <c r="D58" s="23" t="s">
        <v>835</v>
      </c>
      <c r="E58" s="23" t="s">
        <v>836</v>
      </c>
      <c r="F58" s="23"/>
      <c r="G58" s="23" t="s">
        <v>862</v>
      </c>
      <c r="H58" s="25" t="n">
        <v>46307.75</v>
      </c>
    </row>
    <row r="59" customFormat="false" ht="15" hidden="false" customHeight="false" outlineLevel="0" collapsed="false">
      <c r="A59" s="26" t="n">
        <v>24</v>
      </c>
      <c r="B59" s="26" t="n">
        <v>601</v>
      </c>
      <c r="C59" s="26" t="n">
        <v>22</v>
      </c>
      <c r="D59" s="26" t="s">
        <v>838</v>
      </c>
      <c r="E59" s="26" t="s">
        <v>839</v>
      </c>
      <c r="F59" s="26"/>
      <c r="G59" s="26" t="s">
        <v>863</v>
      </c>
      <c r="H59" s="28" t="n">
        <v>46307.7500034722</v>
      </c>
    </row>
    <row r="60" customFormat="false" ht="15" hidden="false" customHeight="false" outlineLevel="0" collapsed="false">
      <c r="A60" s="23" t="n">
        <v>25</v>
      </c>
      <c r="B60" s="23" t="n">
        <v>601</v>
      </c>
      <c r="C60" s="23" t="n">
        <v>22</v>
      </c>
      <c r="D60" s="23" t="s">
        <v>841</v>
      </c>
      <c r="E60" s="23" t="s">
        <v>836</v>
      </c>
      <c r="F60" s="23"/>
      <c r="G60" s="23" t="s">
        <v>842</v>
      </c>
      <c r="H60" s="25" t="n">
        <v>46307.7986111111</v>
      </c>
    </row>
    <row r="61" customFormat="false" ht="15" hidden="false" customHeight="false" outlineLevel="0" collapsed="false">
      <c r="A61" s="26" t="n">
        <v>26</v>
      </c>
      <c r="B61" s="26" t="n">
        <v>601</v>
      </c>
      <c r="C61" s="26" t="n">
        <v>22</v>
      </c>
      <c r="D61" s="26" t="s">
        <v>843</v>
      </c>
      <c r="E61" s="26" t="s">
        <v>844</v>
      </c>
      <c r="F61" s="26"/>
      <c r="G61" s="26" t="s">
        <v>845</v>
      </c>
      <c r="H61" s="28" t="n">
        <v>46307.7986342593</v>
      </c>
    </row>
    <row r="62" customFormat="false" ht="15" hidden="false" customHeight="false" outlineLevel="0" collapsed="false">
      <c r="A62" s="23" t="n">
        <v>27</v>
      </c>
      <c r="B62" s="23" t="n">
        <v>502</v>
      </c>
      <c r="C62" s="23" t="n">
        <v>21</v>
      </c>
      <c r="D62" s="23" t="s">
        <v>835</v>
      </c>
      <c r="E62" s="23" t="s">
        <v>836</v>
      </c>
      <c r="F62" s="23"/>
      <c r="G62" s="23" t="s">
        <v>864</v>
      </c>
      <c r="H62" s="25" t="n">
        <v>46308.2604166667</v>
      </c>
    </row>
    <row r="63" customFormat="false" ht="15" hidden="false" customHeight="false" outlineLevel="0" collapsed="false">
      <c r="A63" s="26" t="n">
        <v>28</v>
      </c>
      <c r="B63" s="26" t="n">
        <v>502</v>
      </c>
      <c r="C63" s="26" t="n">
        <v>21</v>
      </c>
      <c r="D63" s="26" t="s">
        <v>838</v>
      </c>
      <c r="E63" s="26" t="s">
        <v>839</v>
      </c>
      <c r="F63" s="26"/>
      <c r="G63" s="26" t="s">
        <v>865</v>
      </c>
      <c r="H63" s="28" t="n">
        <v>46308.2604201389</v>
      </c>
    </row>
    <row r="64" customFormat="false" ht="15" hidden="false" customHeight="false" outlineLevel="0" collapsed="false">
      <c r="A64" s="23" t="n">
        <v>29</v>
      </c>
      <c r="B64" s="23" t="n">
        <v>502</v>
      </c>
      <c r="C64" s="23" t="n">
        <v>21</v>
      </c>
      <c r="D64" s="23" t="s">
        <v>841</v>
      </c>
      <c r="E64" s="23" t="s">
        <v>836</v>
      </c>
      <c r="F64" s="23"/>
      <c r="G64" s="23" t="s">
        <v>842</v>
      </c>
      <c r="H64" s="25" t="n">
        <v>46308.3229166667</v>
      </c>
    </row>
    <row r="65" customFormat="false" ht="15" hidden="false" customHeight="false" outlineLevel="0" collapsed="false">
      <c r="A65" s="26" t="n">
        <v>30</v>
      </c>
      <c r="B65" s="26" t="n">
        <v>502</v>
      </c>
      <c r="C65" s="26" t="n">
        <v>21</v>
      </c>
      <c r="D65" s="26" t="s">
        <v>843</v>
      </c>
      <c r="E65" s="26" t="s">
        <v>844</v>
      </c>
      <c r="F65" s="26"/>
      <c r="G65" s="26" t="s">
        <v>845</v>
      </c>
      <c r="H65" s="28" t="n">
        <v>46308.3229398148</v>
      </c>
    </row>
    <row r="66" customFormat="false" ht="15" hidden="false" customHeight="false" outlineLevel="0" collapsed="false">
      <c r="A66" s="23" t="n">
        <v>31</v>
      </c>
      <c r="B66" s="23" t="n">
        <v>105</v>
      </c>
      <c r="C66" s="23"/>
      <c r="D66" s="23" t="s">
        <v>866</v>
      </c>
      <c r="E66" s="23" t="s">
        <v>844</v>
      </c>
      <c r="F66" s="23"/>
      <c r="G66" s="23" t="s">
        <v>867</v>
      </c>
      <c r="H66" s="25" t="n">
        <v>46308.3680555556</v>
      </c>
    </row>
    <row r="67" customFormat="false" ht="15" hidden="false" customHeight="false" outlineLevel="0" collapsed="false">
      <c r="A67" s="26" t="n">
        <v>32</v>
      </c>
      <c r="B67" s="26" t="n">
        <v>102</v>
      </c>
      <c r="C67" s="26" t="n">
        <v>25</v>
      </c>
      <c r="D67" s="26" t="s">
        <v>835</v>
      </c>
      <c r="E67" s="26" t="s">
        <v>836</v>
      </c>
      <c r="F67" s="26"/>
      <c r="G67" s="26" t="s">
        <v>868</v>
      </c>
      <c r="H67" s="28" t="n">
        <v>46308.375</v>
      </c>
    </row>
    <row r="68" customFormat="false" ht="15" hidden="false" customHeight="false" outlineLevel="0" collapsed="false">
      <c r="A68" s="23" t="n">
        <v>33</v>
      </c>
      <c r="B68" s="23" t="n">
        <v>105</v>
      </c>
      <c r="C68" s="23"/>
      <c r="D68" s="23" t="s">
        <v>869</v>
      </c>
      <c r="E68" s="23" t="s">
        <v>851</v>
      </c>
      <c r="F68" s="23" t="n">
        <v>2</v>
      </c>
      <c r="G68" s="23" t="s">
        <v>870</v>
      </c>
      <c r="H68" s="25" t="n">
        <v>46308.375</v>
      </c>
    </row>
    <row r="69" customFormat="false" ht="15" hidden="false" customHeight="false" outlineLevel="0" collapsed="false">
      <c r="A69" s="26" t="n">
        <v>34</v>
      </c>
      <c r="B69" s="26" t="n">
        <v>102</v>
      </c>
      <c r="C69" s="26" t="n">
        <v>25</v>
      </c>
      <c r="D69" s="26" t="s">
        <v>838</v>
      </c>
      <c r="E69" s="26" t="s">
        <v>839</v>
      </c>
      <c r="F69" s="26"/>
      <c r="G69" s="26" t="s">
        <v>871</v>
      </c>
      <c r="H69" s="28" t="n">
        <v>46308.3750034722</v>
      </c>
    </row>
    <row r="70" customFormat="false" ht="15" hidden="false" customHeight="false" outlineLevel="0" collapsed="false">
      <c r="A70" s="23" t="n">
        <v>35</v>
      </c>
      <c r="B70" s="23" t="n">
        <v>201</v>
      </c>
      <c r="C70" s="23" t="n">
        <v>16</v>
      </c>
      <c r="D70" s="23" t="s">
        <v>872</v>
      </c>
      <c r="E70" s="23" t="s">
        <v>854</v>
      </c>
      <c r="F70" s="23"/>
      <c r="G70" s="23" t="s">
        <v>873</v>
      </c>
      <c r="H70" s="25" t="n">
        <v>46308.4166666667</v>
      </c>
    </row>
    <row r="71" customFormat="false" ht="15" hidden="false" customHeight="false" outlineLevel="0" collapsed="false">
      <c r="A71" s="26" t="n">
        <v>36</v>
      </c>
      <c r="B71" s="26" t="n">
        <v>803</v>
      </c>
      <c r="C71" s="26" t="n">
        <v>24</v>
      </c>
      <c r="D71" s="26" t="s">
        <v>835</v>
      </c>
      <c r="E71" s="26" t="s">
        <v>836</v>
      </c>
      <c r="F71" s="26"/>
      <c r="G71" s="26" t="s">
        <v>874</v>
      </c>
      <c r="H71" s="28" t="n">
        <v>46308.4583333333</v>
      </c>
    </row>
    <row r="72" customFormat="false" ht="15" hidden="false" customHeight="false" outlineLevel="0" collapsed="false">
      <c r="A72" s="23" t="n">
        <v>37</v>
      </c>
      <c r="B72" s="23" t="n">
        <v>803</v>
      </c>
      <c r="C72" s="23" t="n">
        <v>24</v>
      </c>
      <c r="D72" s="23" t="s">
        <v>838</v>
      </c>
      <c r="E72" s="23" t="s">
        <v>839</v>
      </c>
      <c r="F72" s="23"/>
      <c r="G72" s="23" t="s">
        <v>875</v>
      </c>
      <c r="H72" s="25" t="n">
        <v>46308.4583368056</v>
      </c>
    </row>
    <row r="73" customFormat="false" ht="15" hidden="false" customHeight="false" outlineLevel="0" collapsed="false">
      <c r="A73" s="26" t="n">
        <v>38</v>
      </c>
      <c r="B73" s="26" t="n">
        <v>204</v>
      </c>
      <c r="C73" s="26" t="n">
        <v>17</v>
      </c>
      <c r="D73" s="26" t="s">
        <v>835</v>
      </c>
      <c r="E73" s="26" t="s">
        <v>836</v>
      </c>
      <c r="F73" s="26"/>
      <c r="G73" s="26" t="s">
        <v>876</v>
      </c>
      <c r="H73" s="28" t="n">
        <v>46308.5</v>
      </c>
    </row>
    <row r="74" customFormat="false" ht="15" hidden="false" customHeight="false" outlineLevel="0" collapsed="false">
      <c r="A74" s="23" t="n">
        <v>39</v>
      </c>
      <c r="B74" s="23" t="n">
        <v>204</v>
      </c>
      <c r="C74" s="23" t="n">
        <v>17</v>
      </c>
      <c r="D74" s="23" t="s">
        <v>838</v>
      </c>
      <c r="E74" s="23" t="s">
        <v>839</v>
      </c>
      <c r="F74" s="23"/>
      <c r="G74" s="23" t="s">
        <v>877</v>
      </c>
      <c r="H74" s="25" t="n">
        <v>46308.5000034722</v>
      </c>
    </row>
    <row r="75" customFormat="false" ht="15" hidden="false" customHeight="false" outlineLevel="0" collapsed="false">
      <c r="A75" s="26" t="n">
        <v>40</v>
      </c>
      <c r="B75" s="26" t="n">
        <v>102</v>
      </c>
      <c r="C75" s="26" t="n">
        <v>25</v>
      </c>
      <c r="D75" s="26" t="s">
        <v>841</v>
      </c>
      <c r="E75" s="26" t="s">
        <v>836</v>
      </c>
      <c r="F75" s="26"/>
      <c r="G75" s="26" t="s">
        <v>842</v>
      </c>
      <c r="H75" s="28" t="n">
        <v>46308.5104166667</v>
      </c>
    </row>
    <row r="76" customFormat="false" ht="15" hidden="false" customHeight="false" outlineLevel="0" collapsed="false">
      <c r="A76" s="23" t="n">
        <v>41</v>
      </c>
      <c r="B76" s="23" t="n">
        <v>102</v>
      </c>
      <c r="C76" s="23" t="n">
        <v>25</v>
      </c>
      <c r="D76" s="23" t="s">
        <v>843</v>
      </c>
      <c r="E76" s="23" t="s">
        <v>844</v>
      </c>
      <c r="F76" s="23"/>
      <c r="G76" s="23" t="s">
        <v>845</v>
      </c>
      <c r="H76" s="25" t="n">
        <v>46308.5104398148</v>
      </c>
    </row>
    <row r="77" customFormat="false" ht="15" hidden="false" customHeight="false" outlineLevel="0" collapsed="false">
      <c r="A77" s="26" t="n">
        <v>42</v>
      </c>
      <c r="B77" s="26" t="n">
        <v>803</v>
      </c>
      <c r="C77" s="26" t="n">
        <v>24</v>
      </c>
      <c r="D77" s="26" t="s">
        <v>841</v>
      </c>
      <c r="E77" s="26" t="s">
        <v>836</v>
      </c>
      <c r="F77" s="26"/>
      <c r="G77" s="26" t="s">
        <v>842</v>
      </c>
      <c r="H77" s="28" t="n">
        <v>46308.5625</v>
      </c>
    </row>
    <row r="78" customFormat="false" ht="15" hidden="false" customHeight="false" outlineLevel="0" collapsed="false">
      <c r="A78" s="23" t="n">
        <v>43</v>
      </c>
      <c r="B78" s="23" t="n">
        <v>803</v>
      </c>
      <c r="C78" s="23" t="n">
        <v>24</v>
      </c>
      <c r="D78" s="23" t="s">
        <v>843</v>
      </c>
      <c r="E78" s="23" t="s">
        <v>844</v>
      </c>
      <c r="F78" s="23"/>
      <c r="G78" s="23" t="s">
        <v>845</v>
      </c>
      <c r="H78" s="25" t="n">
        <v>46308.5625231482</v>
      </c>
    </row>
    <row r="79" customFormat="false" ht="15" hidden="false" customHeight="false" outlineLevel="0" collapsed="false">
      <c r="A79" s="26" t="n">
        <v>44</v>
      </c>
      <c r="B79" s="26" t="n">
        <v>204</v>
      </c>
      <c r="C79" s="26" t="n">
        <v>17</v>
      </c>
      <c r="D79" s="26" t="s">
        <v>878</v>
      </c>
      <c r="E79" s="26" t="s">
        <v>851</v>
      </c>
      <c r="F79" s="26" t="n">
        <v>3</v>
      </c>
      <c r="G79" s="26" t="s">
        <v>879</v>
      </c>
      <c r="H79" s="28" t="n">
        <v>46308.5729166667</v>
      </c>
    </row>
    <row r="80" customFormat="false" ht="15" hidden="false" customHeight="false" outlineLevel="0" collapsed="false">
      <c r="A80" s="23" t="n">
        <v>45</v>
      </c>
      <c r="B80" s="23" t="n">
        <v>204</v>
      </c>
      <c r="C80" s="23" t="n">
        <v>17</v>
      </c>
      <c r="D80" s="23" t="s">
        <v>843</v>
      </c>
      <c r="E80" s="23" t="s">
        <v>844</v>
      </c>
      <c r="F80" s="23"/>
      <c r="G80" s="23" t="s">
        <v>880</v>
      </c>
      <c r="H80" s="25" t="n">
        <v>46308.5729398148</v>
      </c>
    </row>
    <row r="81" customFormat="false" ht="15" hidden="false" customHeight="false" outlineLevel="0" collapsed="false">
      <c r="A81" s="26" t="n">
        <v>46</v>
      </c>
      <c r="B81" s="26" t="n">
        <v>101</v>
      </c>
      <c r="C81" s="26" t="n">
        <v>14</v>
      </c>
      <c r="D81" s="26" t="s">
        <v>835</v>
      </c>
      <c r="E81" s="26" t="s">
        <v>836</v>
      </c>
      <c r="F81" s="26"/>
      <c r="G81" s="26" t="s">
        <v>881</v>
      </c>
      <c r="H81" s="28" t="n">
        <v>46308.5833333333</v>
      </c>
    </row>
    <row r="82" customFormat="false" ht="15" hidden="false" customHeight="false" outlineLevel="0" collapsed="false">
      <c r="A82" s="23" t="n">
        <v>47</v>
      </c>
      <c r="B82" s="23" t="n">
        <v>704</v>
      </c>
      <c r="C82" s="23"/>
      <c r="D82" s="23" t="s">
        <v>869</v>
      </c>
      <c r="E82" s="23" t="s">
        <v>851</v>
      </c>
      <c r="F82" s="23" t="n">
        <v>7</v>
      </c>
      <c r="G82" s="23" t="s">
        <v>882</v>
      </c>
      <c r="H82" s="25" t="n">
        <v>46308.5833333333</v>
      </c>
    </row>
    <row r="83" customFormat="false" ht="15" hidden="false" customHeight="false" outlineLevel="0" collapsed="false">
      <c r="A83" s="26" t="n">
        <v>48</v>
      </c>
      <c r="B83" s="26" t="n">
        <v>101</v>
      </c>
      <c r="C83" s="26" t="n">
        <v>14</v>
      </c>
      <c r="D83" s="26" t="s">
        <v>838</v>
      </c>
      <c r="E83" s="26" t="s">
        <v>839</v>
      </c>
      <c r="F83" s="26"/>
      <c r="G83" s="26" t="s">
        <v>857</v>
      </c>
      <c r="H83" s="28" t="n">
        <v>46308.5833368056</v>
      </c>
    </row>
    <row r="84" customFormat="false" ht="15" hidden="false" customHeight="false" outlineLevel="0" collapsed="false">
      <c r="A84" s="23" t="n">
        <v>49</v>
      </c>
      <c r="B84" s="23" t="n">
        <v>303</v>
      </c>
      <c r="C84" s="23" t="n">
        <v>19</v>
      </c>
      <c r="D84" s="23" t="s">
        <v>835</v>
      </c>
      <c r="E84" s="23" t="s">
        <v>836</v>
      </c>
      <c r="F84" s="23"/>
      <c r="G84" s="23" t="s">
        <v>883</v>
      </c>
      <c r="H84" s="25" t="n">
        <v>46308.625</v>
      </c>
    </row>
    <row r="85" customFormat="false" ht="15" hidden="false" customHeight="false" outlineLevel="0" collapsed="false">
      <c r="A85" s="26" t="n">
        <v>50</v>
      </c>
      <c r="B85" s="26" t="n">
        <v>303</v>
      </c>
      <c r="C85" s="26" t="n">
        <v>19</v>
      </c>
      <c r="D85" s="26" t="s">
        <v>838</v>
      </c>
      <c r="E85" s="26" t="s">
        <v>839</v>
      </c>
      <c r="F85" s="26"/>
      <c r="G85" s="26" t="s">
        <v>884</v>
      </c>
      <c r="H85" s="28" t="n">
        <v>46308.6250034722</v>
      </c>
    </row>
    <row r="86" customFormat="false" ht="15" hidden="false" customHeight="false" outlineLevel="0" collapsed="false">
      <c r="A86" s="23" t="n">
        <v>51</v>
      </c>
      <c r="B86" s="23" t="n">
        <v>101</v>
      </c>
      <c r="C86" s="23" t="n">
        <v>14</v>
      </c>
      <c r="D86" s="23" t="s">
        <v>841</v>
      </c>
      <c r="E86" s="23" t="s">
        <v>836</v>
      </c>
      <c r="F86" s="23"/>
      <c r="G86" s="23" t="s">
        <v>842</v>
      </c>
      <c r="H86" s="25" t="n">
        <v>46308.6875</v>
      </c>
    </row>
    <row r="87" customFormat="false" ht="15" hidden="false" customHeight="false" outlineLevel="0" collapsed="false">
      <c r="A87" s="26" t="n">
        <v>52</v>
      </c>
      <c r="B87" s="26" t="n">
        <v>101</v>
      </c>
      <c r="C87" s="26" t="n">
        <v>14</v>
      </c>
      <c r="D87" s="26" t="s">
        <v>843</v>
      </c>
      <c r="E87" s="26" t="s">
        <v>844</v>
      </c>
      <c r="F87" s="26"/>
      <c r="G87" s="26" t="s">
        <v>845</v>
      </c>
      <c r="H87" s="28" t="n">
        <v>46308.6875231482</v>
      </c>
    </row>
    <row r="88" customFormat="false" ht="15" hidden="false" customHeight="false" outlineLevel="0" collapsed="false">
      <c r="A88" s="23" t="n">
        <v>53</v>
      </c>
      <c r="B88" s="23" t="n">
        <v>303</v>
      </c>
      <c r="C88" s="23" t="n">
        <v>19</v>
      </c>
      <c r="D88" s="23" t="s">
        <v>841</v>
      </c>
      <c r="E88" s="23" t="s">
        <v>836</v>
      </c>
      <c r="F88" s="23"/>
      <c r="G88" s="23" t="s">
        <v>842</v>
      </c>
      <c r="H88" s="25" t="n">
        <v>46308.7222222222</v>
      </c>
    </row>
    <row r="89" customFormat="false" ht="15" hidden="false" customHeight="false" outlineLevel="0" collapsed="false">
      <c r="A89" s="26" t="n">
        <v>54</v>
      </c>
      <c r="B89" s="26" t="n">
        <v>303</v>
      </c>
      <c r="C89" s="26" t="n">
        <v>19</v>
      </c>
      <c r="D89" s="26" t="s">
        <v>843</v>
      </c>
      <c r="E89" s="26" t="s">
        <v>844</v>
      </c>
      <c r="F89" s="26"/>
      <c r="G89" s="26" t="s">
        <v>845</v>
      </c>
      <c r="H89" s="28" t="n">
        <v>46308.7222453704</v>
      </c>
    </row>
    <row r="90" customFormat="false" ht="15" hidden="false" customHeight="false" outlineLevel="0" collapsed="false">
      <c r="A90" s="23" t="n">
        <v>55</v>
      </c>
      <c r="B90" s="23" t="n">
        <v>403</v>
      </c>
      <c r="C90" s="23" t="n">
        <v>5</v>
      </c>
      <c r="D90" s="23" t="s">
        <v>835</v>
      </c>
      <c r="E90" s="23" t="s">
        <v>836</v>
      </c>
      <c r="F90" s="23"/>
      <c r="G90" s="23" t="s">
        <v>885</v>
      </c>
      <c r="H90" s="25" t="n">
        <v>46309.2673611111</v>
      </c>
    </row>
    <row r="91" customFormat="false" ht="15" hidden="false" customHeight="false" outlineLevel="0" collapsed="false">
      <c r="A91" s="26" t="n">
        <v>56</v>
      </c>
      <c r="B91" s="26" t="n">
        <v>403</v>
      </c>
      <c r="C91" s="26" t="n">
        <v>5</v>
      </c>
      <c r="D91" s="26" t="s">
        <v>838</v>
      </c>
      <c r="E91" s="26" t="s">
        <v>839</v>
      </c>
      <c r="F91" s="26"/>
      <c r="G91" s="26" t="s">
        <v>886</v>
      </c>
      <c r="H91" s="28" t="n">
        <v>46309.2673645833</v>
      </c>
    </row>
    <row r="92" customFormat="false" ht="15" hidden="false" customHeight="false" outlineLevel="0" collapsed="false">
      <c r="A92" s="23" t="n">
        <v>57</v>
      </c>
      <c r="B92" s="23" t="n">
        <v>403</v>
      </c>
      <c r="C92" s="23" t="n">
        <v>5</v>
      </c>
      <c r="D92" s="23" t="s">
        <v>887</v>
      </c>
      <c r="E92" s="23" t="s">
        <v>839</v>
      </c>
      <c r="F92" s="23"/>
      <c r="G92" s="23" t="s">
        <v>888</v>
      </c>
      <c r="H92" s="25" t="n">
        <v>46309.267650463</v>
      </c>
    </row>
    <row r="93" customFormat="false" ht="15" hidden="false" customHeight="false" outlineLevel="0" collapsed="false">
      <c r="A93" s="26" t="n">
        <v>58</v>
      </c>
      <c r="B93" s="26" t="n">
        <v>802</v>
      </c>
      <c r="C93" s="26" t="n">
        <v>10</v>
      </c>
      <c r="D93" s="26" t="s">
        <v>835</v>
      </c>
      <c r="E93" s="26" t="s">
        <v>836</v>
      </c>
      <c r="F93" s="26"/>
      <c r="G93" s="26" t="s">
        <v>889</v>
      </c>
      <c r="H93" s="28" t="n">
        <v>46309.2847222222</v>
      </c>
    </row>
    <row r="94" customFormat="false" ht="15" hidden="false" customHeight="false" outlineLevel="0" collapsed="false">
      <c r="A94" s="23" t="n">
        <v>59</v>
      </c>
      <c r="B94" s="23" t="n">
        <v>802</v>
      </c>
      <c r="C94" s="23" t="n">
        <v>10</v>
      </c>
      <c r="D94" s="23" t="s">
        <v>838</v>
      </c>
      <c r="E94" s="23" t="s">
        <v>839</v>
      </c>
      <c r="F94" s="23"/>
      <c r="G94" s="23" t="s">
        <v>890</v>
      </c>
      <c r="H94" s="25" t="n">
        <v>46309.2847256944</v>
      </c>
    </row>
    <row r="95" customFormat="false" ht="15" hidden="false" customHeight="false" outlineLevel="0" collapsed="false">
      <c r="A95" s="26" t="n">
        <v>60</v>
      </c>
      <c r="B95" s="26" t="n">
        <v>802</v>
      </c>
      <c r="C95" s="26" t="n">
        <v>10</v>
      </c>
      <c r="D95" s="26" t="s">
        <v>887</v>
      </c>
      <c r="E95" s="26" t="s">
        <v>839</v>
      </c>
      <c r="F95" s="26"/>
      <c r="G95" s="26" t="s">
        <v>888</v>
      </c>
      <c r="H95" s="28" t="n">
        <v>46309.2850115741</v>
      </c>
    </row>
    <row r="96" customFormat="false" ht="15" hidden="false" customHeight="false" outlineLevel="0" collapsed="false">
      <c r="A96" s="23" t="n">
        <v>61</v>
      </c>
      <c r="B96" s="23" t="n">
        <v>1002</v>
      </c>
      <c r="C96" s="23" t="n">
        <v>12</v>
      </c>
      <c r="D96" s="23" t="s">
        <v>835</v>
      </c>
      <c r="E96" s="23" t="s">
        <v>836</v>
      </c>
      <c r="F96" s="23"/>
      <c r="G96" s="23" t="s">
        <v>891</v>
      </c>
      <c r="H96" s="25" t="n">
        <v>46309.3083333333</v>
      </c>
    </row>
    <row r="97" customFormat="false" ht="15" hidden="false" customHeight="false" outlineLevel="0" collapsed="false">
      <c r="A97" s="26" t="n">
        <v>62</v>
      </c>
      <c r="B97" s="26" t="n">
        <v>1002</v>
      </c>
      <c r="C97" s="26" t="n">
        <v>12</v>
      </c>
      <c r="D97" s="26" t="s">
        <v>838</v>
      </c>
      <c r="E97" s="26" t="s">
        <v>839</v>
      </c>
      <c r="F97" s="26"/>
      <c r="G97" s="26" t="s">
        <v>871</v>
      </c>
      <c r="H97" s="28" t="n">
        <v>46309.3083368056</v>
      </c>
    </row>
    <row r="98" customFormat="false" ht="15" hidden="false" customHeight="false" outlineLevel="0" collapsed="false">
      <c r="A98" s="23" t="n">
        <v>63</v>
      </c>
      <c r="B98" s="23" t="n">
        <v>1002</v>
      </c>
      <c r="C98" s="23" t="n">
        <v>12</v>
      </c>
      <c r="D98" s="23" t="s">
        <v>887</v>
      </c>
      <c r="E98" s="23" t="s">
        <v>839</v>
      </c>
      <c r="F98" s="23"/>
      <c r="G98" s="23" t="s">
        <v>888</v>
      </c>
      <c r="H98" s="25" t="n">
        <v>46309.3086226852</v>
      </c>
    </row>
    <row r="99" customFormat="false" ht="15" hidden="false" customHeight="false" outlineLevel="0" collapsed="false">
      <c r="A99" s="26" t="n">
        <v>64</v>
      </c>
      <c r="B99" s="26" t="n">
        <v>202</v>
      </c>
      <c r="C99" s="26" t="n">
        <v>2</v>
      </c>
      <c r="D99" s="26" t="s">
        <v>835</v>
      </c>
      <c r="E99" s="26" t="s">
        <v>836</v>
      </c>
      <c r="F99" s="26"/>
      <c r="G99" s="26" t="s">
        <v>892</v>
      </c>
      <c r="H99" s="28" t="n">
        <v>46309.3152777778</v>
      </c>
    </row>
    <row r="100" customFormat="false" ht="15" hidden="false" customHeight="false" outlineLevel="0" collapsed="false">
      <c r="A100" s="23" t="n">
        <v>65</v>
      </c>
      <c r="B100" s="23" t="n">
        <v>202</v>
      </c>
      <c r="C100" s="23" t="n">
        <v>2</v>
      </c>
      <c r="D100" s="23" t="s">
        <v>838</v>
      </c>
      <c r="E100" s="23" t="s">
        <v>839</v>
      </c>
      <c r="F100" s="23"/>
      <c r="G100" s="23" t="s">
        <v>893</v>
      </c>
      <c r="H100" s="25" t="n">
        <v>46309.31528125</v>
      </c>
    </row>
    <row r="101" customFormat="false" ht="15" hidden="false" customHeight="false" outlineLevel="0" collapsed="false">
      <c r="A101" s="26" t="n">
        <v>66</v>
      </c>
      <c r="B101" s="26" t="n">
        <v>202</v>
      </c>
      <c r="C101" s="26" t="n">
        <v>2</v>
      </c>
      <c r="D101" s="26" t="s">
        <v>887</v>
      </c>
      <c r="E101" s="26" t="s">
        <v>839</v>
      </c>
      <c r="F101" s="26"/>
      <c r="G101" s="26" t="s">
        <v>888</v>
      </c>
      <c r="H101" s="28" t="n">
        <v>46309.3155671296</v>
      </c>
    </row>
    <row r="102" customFormat="false" ht="15" hidden="false" customHeight="false" outlineLevel="0" collapsed="false">
      <c r="A102" s="23" t="n">
        <v>67</v>
      </c>
      <c r="B102" s="23" t="n">
        <v>205</v>
      </c>
      <c r="C102" s="23"/>
      <c r="D102" s="23" t="s">
        <v>894</v>
      </c>
      <c r="E102" s="23" t="s">
        <v>851</v>
      </c>
      <c r="F102" s="23" t="n">
        <v>5</v>
      </c>
      <c r="G102" s="23" t="s">
        <v>895</v>
      </c>
      <c r="H102" s="25" t="n">
        <v>46309.3159722222</v>
      </c>
    </row>
    <row r="103" customFormat="false" ht="15" hidden="false" customHeight="false" outlineLevel="0" collapsed="false">
      <c r="A103" s="26" t="n">
        <v>68</v>
      </c>
      <c r="B103" s="26" t="n">
        <v>503</v>
      </c>
      <c r="C103" s="26" t="n">
        <v>7</v>
      </c>
      <c r="D103" s="26" t="s">
        <v>835</v>
      </c>
      <c r="E103" s="26" t="s">
        <v>836</v>
      </c>
      <c r="F103" s="26"/>
      <c r="G103" s="26" t="s">
        <v>896</v>
      </c>
      <c r="H103" s="28" t="n">
        <v>46309.3326388889</v>
      </c>
    </row>
    <row r="104" customFormat="false" ht="15" hidden="false" customHeight="false" outlineLevel="0" collapsed="false">
      <c r="A104" s="23" t="n">
        <v>69</v>
      </c>
      <c r="B104" s="23" t="n">
        <v>503</v>
      </c>
      <c r="C104" s="23" t="n">
        <v>7</v>
      </c>
      <c r="D104" s="23" t="s">
        <v>838</v>
      </c>
      <c r="E104" s="23" t="s">
        <v>839</v>
      </c>
      <c r="F104" s="23"/>
      <c r="G104" s="23" t="s">
        <v>897</v>
      </c>
      <c r="H104" s="25" t="n">
        <v>46309.3326423611</v>
      </c>
    </row>
    <row r="105" customFormat="false" ht="15" hidden="false" customHeight="false" outlineLevel="0" collapsed="false">
      <c r="A105" s="26" t="n">
        <v>70</v>
      </c>
      <c r="B105" s="26" t="n">
        <v>503</v>
      </c>
      <c r="C105" s="26" t="n">
        <v>7</v>
      </c>
      <c r="D105" s="26" t="s">
        <v>887</v>
      </c>
      <c r="E105" s="26" t="s">
        <v>839</v>
      </c>
      <c r="F105" s="26"/>
      <c r="G105" s="26" t="s">
        <v>888</v>
      </c>
      <c r="H105" s="28" t="n">
        <v>46309.3329282407</v>
      </c>
    </row>
    <row r="106" customFormat="false" ht="15" hidden="false" customHeight="false" outlineLevel="0" collapsed="false">
      <c r="A106" s="23" t="n">
        <v>71</v>
      </c>
      <c r="B106" s="23" t="n">
        <v>302</v>
      </c>
      <c r="C106" s="23" t="n">
        <v>4</v>
      </c>
      <c r="D106" s="23" t="s">
        <v>835</v>
      </c>
      <c r="E106" s="23" t="s">
        <v>836</v>
      </c>
      <c r="F106" s="23"/>
      <c r="G106" s="23" t="s">
        <v>898</v>
      </c>
      <c r="H106" s="25" t="n">
        <v>46309.3388888889</v>
      </c>
    </row>
    <row r="107" customFormat="false" ht="15" hidden="false" customHeight="false" outlineLevel="0" collapsed="false">
      <c r="A107" s="26" t="n">
        <v>72</v>
      </c>
      <c r="B107" s="26" t="n">
        <v>302</v>
      </c>
      <c r="C107" s="26" t="n">
        <v>4</v>
      </c>
      <c r="D107" s="26" t="s">
        <v>838</v>
      </c>
      <c r="E107" s="26" t="s">
        <v>839</v>
      </c>
      <c r="F107" s="26"/>
      <c r="G107" s="26" t="s">
        <v>899</v>
      </c>
      <c r="H107" s="28" t="n">
        <v>46309.3388923611</v>
      </c>
    </row>
    <row r="108" customFormat="false" ht="15" hidden="false" customHeight="false" outlineLevel="0" collapsed="false">
      <c r="A108" s="23" t="n">
        <v>73</v>
      </c>
      <c r="B108" s="23" t="n">
        <v>302</v>
      </c>
      <c r="C108" s="23" t="n">
        <v>4</v>
      </c>
      <c r="D108" s="23" t="s">
        <v>887</v>
      </c>
      <c r="E108" s="23" t="s">
        <v>839</v>
      </c>
      <c r="F108" s="23"/>
      <c r="G108" s="23" t="s">
        <v>888</v>
      </c>
      <c r="H108" s="25" t="n">
        <v>46309.3391782407</v>
      </c>
    </row>
    <row r="109" customFormat="false" ht="15" hidden="false" customHeight="false" outlineLevel="0" collapsed="false">
      <c r="A109" s="26" t="n">
        <v>74</v>
      </c>
      <c r="B109" s="26" t="n">
        <v>701</v>
      </c>
      <c r="C109" s="26" t="n">
        <v>9</v>
      </c>
      <c r="D109" s="26" t="s">
        <v>835</v>
      </c>
      <c r="E109" s="26" t="s">
        <v>836</v>
      </c>
      <c r="F109" s="26"/>
      <c r="G109" s="26" t="s">
        <v>900</v>
      </c>
      <c r="H109" s="28" t="n">
        <v>46309.35625</v>
      </c>
    </row>
    <row r="110" customFormat="false" ht="15" hidden="false" customHeight="false" outlineLevel="0" collapsed="false">
      <c r="A110" s="23" t="n">
        <v>75</v>
      </c>
      <c r="B110" s="23" t="n">
        <v>701</v>
      </c>
      <c r="C110" s="23" t="n">
        <v>9</v>
      </c>
      <c r="D110" s="23" t="s">
        <v>838</v>
      </c>
      <c r="E110" s="23" t="s">
        <v>839</v>
      </c>
      <c r="F110" s="23"/>
      <c r="G110" s="23" t="s">
        <v>901</v>
      </c>
      <c r="H110" s="25" t="n">
        <v>46309.3562534722</v>
      </c>
    </row>
    <row r="111" customFormat="false" ht="15" hidden="false" customHeight="false" outlineLevel="0" collapsed="false">
      <c r="A111" s="26" t="n">
        <v>76</v>
      </c>
      <c r="B111" s="26" t="n">
        <v>701</v>
      </c>
      <c r="C111" s="26" t="n">
        <v>9</v>
      </c>
      <c r="D111" s="26" t="s">
        <v>887</v>
      </c>
      <c r="E111" s="26" t="s">
        <v>839</v>
      </c>
      <c r="F111" s="26"/>
      <c r="G111" s="26" t="s">
        <v>888</v>
      </c>
      <c r="H111" s="28" t="n">
        <v>46309.3565393519</v>
      </c>
    </row>
    <row r="112" customFormat="false" ht="15" hidden="false" customHeight="false" outlineLevel="0" collapsed="false">
      <c r="A112" s="23" t="n">
        <v>77</v>
      </c>
      <c r="B112" s="23" t="n">
        <v>901</v>
      </c>
      <c r="C112" s="23" t="n">
        <v>11</v>
      </c>
      <c r="D112" s="23" t="s">
        <v>835</v>
      </c>
      <c r="E112" s="23" t="s">
        <v>836</v>
      </c>
      <c r="F112" s="23"/>
      <c r="G112" s="23" t="s">
        <v>902</v>
      </c>
      <c r="H112" s="25" t="n">
        <v>46309.3798611111</v>
      </c>
    </row>
    <row r="113" customFormat="false" ht="15" hidden="false" customHeight="false" outlineLevel="0" collapsed="false">
      <c r="A113" s="26" t="n">
        <v>78</v>
      </c>
      <c r="B113" s="26" t="n">
        <v>901</v>
      </c>
      <c r="C113" s="26" t="n">
        <v>11</v>
      </c>
      <c r="D113" s="26" t="s">
        <v>838</v>
      </c>
      <c r="E113" s="26" t="s">
        <v>839</v>
      </c>
      <c r="F113" s="26"/>
      <c r="G113" s="26" t="s">
        <v>903</v>
      </c>
      <c r="H113" s="28" t="n">
        <v>46309.3798645833</v>
      </c>
    </row>
    <row r="114" customFormat="false" ht="15" hidden="false" customHeight="false" outlineLevel="0" collapsed="false">
      <c r="A114" s="23" t="n">
        <v>79</v>
      </c>
      <c r="B114" s="23" t="n">
        <v>901</v>
      </c>
      <c r="C114" s="23" t="n">
        <v>11</v>
      </c>
      <c r="D114" s="23" t="s">
        <v>887</v>
      </c>
      <c r="E114" s="23" t="s">
        <v>839</v>
      </c>
      <c r="F114" s="23"/>
      <c r="G114" s="23" t="s">
        <v>888</v>
      </c>
      <c r="H114" s="25" t="n">
        <v>46309.380150463</v>
      </c>
    </row>
    <row r="115" customFormat="false" ht="15" hidden="false" customHeight="false" outlineLevel="0" collapsed="false">
      <c r="A115" s="26" t="n">
        <v>80</v>
      </c>
      <c r="B115" s="26" t="n">
        <v>102</v>
      </c>
      <c r="C115" s="26" t="n">
        <v>1</v>
      </c>
      <c r="D115" s="26" t="s">
        <v>835</v>
      </c>
      <c r="E115" s="26" t="s">
        <v>836</v>
      </c>
      <c r="F115" s="26"/>
      <c r="G115" s="26" t="s">
        <v>904</v>
      </c>
      <c r="H115" s="28" t="n">
        <v>46309.3868055556</v>
      </c>
    </row>
    <row r="116" customFormat="false" ht="15" hidden="false" customHeight="false" outlineLevel="0" collapsed="false">
      <c r="A116" s="23" t="n">
        <v>81</v>
      </c>
      <c r="B116" s="23" t="n">
        <v>102</v>
      </c>
      <c r="C116" s="23" t="n">
        <v>1</v>
      </c>
      <c r="D116" s="23" t="s">
        <v>838</v>
      </c>
      <c r="E116" s="23" t="s">
        <v>839</v>
      </c>
      <c r="F116" s="23"/>
      <c r="G116" s="23" t="s">
        <v>871</v>
      </c>
      <c r="H116" s="25" t="n">
        <v>46309.3868090278</v>
      </c>
    </row>
    <row r="117" customFormat="false" ht="15" hidden="false" customHeight="false" outlineLevel="0" collapsed="false">
      <c r="A117" s="26" t="n">
        <v>82</v>
      </c>
      <c r="B117" s="26" t="n">
        <v>102</v>
      </c>
      <c r="C117" s="26" t="n">
        <v>1</v>
      </c>
      <c r="D117" s="26" t="s">
        <v>887</v>
      </c>
      <c r="E117" s="26" t="s">
        <v>839</v>
      </c>
      <c r="F117" s="26"/>
      <c r="G117" s="26" t="s">
        <v>888</v>
      </c>
      <c r="H117" s="28" t="n">
        <v>46309.3870949074</v>
      </c>
    </row>
    <row r="118" customFormat="false" ht="15" hidden="false" customHeight="false" outlineLevel="0" collapsed="false">
      <c r="A118" s="23" t="n">
        <v>83</v>
      </c>
      <c r="B118" s="23" t="n">
        <v>501</v>
      </c>
      <c r="C118" s="23" t="n">
        <v>6</v>
      </c>
      <c r="D118" s="23" t="s">
        <v>835</v>
      </c>
      <c r="E118" s="23" t="s">
        <v>836</v>
      </c>
      <c r="F118" s="23"/>
      <c r="G118" s="23" t="s">
        <v>905</v>
      </c>
      <c r="H118" s="25" t="n">
        <v>46309.4041666667</v>
      </c>
    </row>
    <row r="119" customFormat="false" ht="15" hidden="false" customHeight="false" outlineLevel="0" collapsed="false">
      <c r="A119" s="26" t="n">
        <v>84</v>
      </c>
      <c r="B119" s="26" t="n">
        <v>501</v>
      </c>
      <c r="C119" s="26" t="n">
        <v>6</v>
      </c>
      <c r="D119" s="26" t="s">
        <v>838</v>
      </c>
      <c r="E119" s="26" t="s">
        <v>839</v>
      </c>
      <c r="F119" s="26"/>
      <c r="G119" s="26" t="s">
        <v>906</v>
      </c>
      <c r="H119" s="28" t="n">
        <v>46309.4041701389</v>
      </c>
    </row>
    <row r="120" customFormat="false" ht="15" hidden="false" customHeight="false" outlineLevel="0" collapsed="false">
      <c r="A120" s="23" t="n">
        <v>85</v>
      </c>
      <c r="B120" s="23" t="n">
        <v>501</v>
      </c>
      <c r="C120" s="23" t="n">
        <v>6</v>
      </c>
      <c r="D120" s="23" t="s">
        <v>887</v>
      </c>
      <c r="E120" s="23" t="s">
        <v>839</v>
      </c>
      <c r="F120" s="23"/>
      <c r="G120" s="23" t="s">
        <v>888</v>
      </c>
      <c r="H120" s="25" t="n">
        <v>46309.4044560185</v>
      </c>
    </row>
    <row r="121" customFormat="false" ht="15" hidden="false" customHeight="false" outlineLevel="0" collapsed="false">
      <c r="A121" s="26" t="n">
        <v>86</v>
      </c>
      <c r="B121" s="26" t="n">
        <v>602</v>
      </c>
      <c r="C121" s="26" t="n">
        <v>8</v>
      </c>
      <c r="D121" s="26" t="s">
        <v>835</v>
      </c>
      <c r="E121" s="26" t="s">
        <v>836</v>
      </c>
      <c r="F121" s="26"/>
      <c r="G121" s="26" t="s">
        <v>907</v>
      </c>
      <c r="H121" s="28" t="n">
        <v>46309.4277777778</v>
      </c>
    </row>
    <row r="122" customFormat="false" ht="15" hidden="false" customHeight="false" outlineLevel="0" collapsed="false">
      <c r="A122" s="23" t="n">
        <v>87</v>
      </c>
      <c r="B122" s="23" t="n">
        <v>602</v>
      </c>
      <c r="C122" s="23" t="n">
        <v>8</v>
      </c>
      <c r="D122" s="23" t="s">
        <v>838</v>
      </c>
      <c r="E122" s="23" t="s">
        <v>839</v>
      </c>
      <c r="F122" s="23"/>
      <c r="G122" s="23" t="s">
        <v>908</v>
      </c>
      <c r="H122" s="25" t="n">
        <v>46309.42778125</v>
      </c>
    </row>
    <row r="123" customFormat="false" ht="15" hidden="false" customHeight="false" outlineLevel="0" collapsed="false">
      <c r="A123" s="26" t="n">
        <v>88</v>
      </c>
      <c r="B123" s="26" t="n">
        <v>602</v>
      </c>
      <c r="C123" s="26" t="n">
        <v>8</v>
      </c>
      <c r="D123" s="26" t="s">
        <v>887</v>
      </c>
      <c r="E123" s="26" t="s">
        <v>839</v>
      </c>
      <c r="F123" s="26"/>
      <c r="G123" s="26" t="s">
        <v>888</v>
      </c>
      <c r="H123" s="28" t="n">
        <v>46309.4280671296</v>
      </c>
    </row>
    <row r="124" customFormat="false" ht="15" hidden="false" customHeight="false" outlineLevel="0" collapsed="false">
      <c r="A124" s="23" t="n">
        <v>89</v>
      </c>
      <c r="B124" s="23" t="n">
        <v>203</v>
      </c>
      <c r="C124" s="23" t="n">
        <v>3</v>
      </c>
      <c r="D124" s="23" t="s">
        <v>835</v>
      </c>
      <c r="E124" s="23" t="s">
        <v>836</v>
      </c>
      <c r="F124" s="23"/>
      <c r="G124" s="23" t="s">
        <v>909</v>
      </c>
      <c r="H124" s="25" t="n">
        <v>46309.4520833333</v>
      </c>
    </row>
    <row r="125" customFormat="false" ht="15" hidden="false" customHeight="false" outlineLevel="0" collapsed="false">
      <c r="A125" s="26" t="n">
        <v>90</v>
      </c>
      <c r="B125" s="26" t="n">
        <v>203</v>
      </c>
      <c r="C125" s="26" t="n">
        <v>3</v>
      </c>
      <c r="D125" s="26" t="s">
        <v>838</v>
      </c>
      <c r="E125" s="26" t="s">
        <v>839</v>
      </c>
      <c r="F125" s="26"/>
      <c r="G125" s="26" t="s">
        <v>910</v>
      </c>
      <c r="H125" s="28" t="n">
        <v>46309.4520868056</v>
      </c>
    </row>
    <row r="126" customFormat="false" ht="15" hidden="false" customHeight="false" outlineLevel="0" collapsed="false">
      <c r="A126" s="23" t="n">
        <v>91</v>
      </c>
      <c r="B126" s="23" t="n">
        <v>203</v>
      </c>
      <c r="C126" s="23" t="n">
        <v>3</v>
      </c>
      <c r="D126" s="23" t="s">
        <v>887</v>
      </c>
      <c r="E126" s="23" t="s">
        <v>839</v>
      </c>
      <c r="F126" s="23"/>
      <c r="G126" s="23" t="s">
        <v>888</v>
      </c>
      <c r="H126" s="25" t="n">
        <v>46309.4523726852</v>
      </c>
    </row>
  </sheetData>
  <mergeCells count="7">
    <mergeCell ref="C24:E24"/>
    <mergeCell ref="C25:E25"/>
    <mergeCell ref="C26:E26"/>
    <mergeCell ref="C29:E29"/>
    <mergeCell ref="C30:E30"/>
    <mergeCell ref="C31:E31"/>
    <mergeCell ref="C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4"/>
    <col collapsed="false" customWidth="true" hidden="false" outlineLevel="0" max="3" min="3" style="1" width="60"/>
    <col collapsed="false" customWidth="true" hidden="false" outlineLevel="0" max="4" min="4" style="1" width="80"/>
  </cols>
  <sheetData>
    <row r="1" customFormat="false" ht="30" hidden="false" customHeight="true" outlineLevel="0" collapsed="false">
      <c r="A1" s="9" t="s">
        <v>911</v>
      </c>
      <c r="B1" s="9" t="s">
        <v>912</v>
      </c>
      <c r="C1" s="9" t="s">
        <v>43</v>
      </c>
      <c r="D1" s="9" t="s">
        <v>913</v>
      </c>
    </row>
    <row r="2" customFormat="false" ht="34.5" hidden="false" customHeight="true" outlineLevel="0" collapsed="false">
      <c r="A2" s="11" t="s">
        <v>914</v>
      </c>
      <c r="B2" s="11" t="s">
        <v>915</v>
      </c>
      <c r="C2" s="11" t="s">
        <v>916</v>
      </c>
      <c r="D2" s="11" t="s">
        <v>917</v>
      </c>
    </row>
    <row r="3" customFormat="false" ht="23.25" hidden="false" customHeight="true" outlineLevel="0" collapsed="false">
      <c r="A3" s="14" t="s">
        <v>918</v>
      </c>
      <c r="B3" s="14" t="s">
        <v>919</v>
      </c>
      <c r="C3" s="14" t="s">
        <v>920</v>
      </c>
      <c r="D3" s="14" t="s">
        <v>921</v>
      </c>
    </row>
  </sheetData>
  <autoFilter ref="A1:D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30"/>
    <col collapsed="false" customWidth="true" hidden="false" outlineLevel="0" max="5" min="5" style="1" width="50"/>
  </cols>
  <sheetData>
    <row r="1" customFormat="false" ht="30" hidden="false" customHeight="true" outlineLevel="0" collapsed="false">
      <c r="A1" s="9" t="s">
        <v>185</v>
      </c>
      <c r="B1" s="9" t="s">
        <v>922</v>
      </c>
      <c r="C1" s="9" t="s">
        <v>40</v>
      </c>
      <c r="D1" s="9" t="s">
        <v>923</v>
      </c>
      <c r="E1" s="9" t="s">
        <v>43</v>
      </c>
    </row>
    <row r="2" customFormat="false" ht="15" hidden="false" customHeight="true" outlineLevel="0" collapsed="false">
      <c r="A2" s="11" t="s">
        <v>924</v>
      </c>
      <c r="B2" s="11" t="s">
        <v>925</v>
      </c>
      <c r="C2" s="11" t="s">
        <v>74</v>
      </c>
      <c r="D2" s="11" t="s">
        <v>74</v>
      </c>
      <c r="E2" s="11" t="s">
        <v>926</v>
      </c>
    </row>
    <row r="3" customFormat="false" ht="23.25" hidden="false" customHeight="true" outlineLevel="0" collapsed="false">
      <c r="A3" s="14" t="s">
        <v>927</v>
      </c>
      <c r="B3" s="14" t="s">
        <v>928</v>
      </c>
      <c r="C3" s="14" t="s">
        <v>14</v>
      </c>
      <c r="D3" s="14" t="s">
        <v>929</v>
      </c>
      <c r="E3" s="14" t="s">
        <v>930</v>
      </c>
    </row>
    <row r="4" customFormat="false" ht="23.25" hidden="false" customHeight="true" outlineLevel="0" collapsed="false">
      <c r="A4" s="11" t="s">
        <v>931</v>
      </c>
      <c r="B4" s="11" t="s">
        <v>928</v>
      </c>
      <c r="C4" s="11" t="s">
        <v>96</v>
      </c>
      <c r="D4" s="11" t="s">
        <v>929</v>
      </c>
      <c r="E4" s="11" t="s">
        <v>930</v>
      </c>
    </row>
    <row r="5" customFormat="false" ht="23.25" hidden="false" customHeight="true" outlineLevel="0" collapsed="false">
      <c r="A5" s="14" t="s">
        <v>932</v>
      </c>
      <c r="B5" s="14" t="s">
        <v>928</v>
      </c>
      <c r="C5" s="14" t="s">
        <v>100</v>
      </c>
      <c r="D5" s="14" t="s">
        <v>929</v>
      </c>
      <c r="E5" s="14" t="s">
        <v>930</v>
      </c>
    </row>
    <row r="6" customFormat="false" ht="23.25" hidden="false" customHeight="true" outlineLevel="0" collapsed="false">
      <c r="A6" s="11" t="s">
        <v>933</v>
      </c>
      <c r="B6" s="11" t="s">
        <v>928</v>
      </c>
      <c r="C6" s="11" t="s">
        <v>106</v>
      </c>
      <c r="D6" s="11" t="s">
        <v>929</v>
      </c>
      <c r="E6" s="11" t="s">
        <v>930</v>
      </c>
    </row>
    <row r="7" customFormat="false" ht="23.25" hidden="false" customHeight="true" outlineLevel="0" collapsed="false">
      <c r="A7" s="14" t="s">
        <v>934</v>
      </c>
      <c r="B7" s="14" t="s">
        <v>928</v>
      </c>
      <c r="C7" s="14" t="s">
        <v>108</v>
      </c>
      <c r="D7" s="14" t="s">
        <v>929</v>
      </c>
      <c r="E7" s="14" t="s">
        <v>930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5"/>
    <col collapsed="false" customWidth="true" hidden="false" outlineLevel="0" max="3" min="3" style="1" width="90"/>
  </cols>
  <sheetData>
    <row r="1" customFormat="false" ht="30" hidden="false" customHeight="true" outlineLevel="0" collapsed="false">
      <c r="A1" s="9" t="s">
        <v>40</v>
      </c>
      <c r="B1" s="9" t="s">
        <v>935</v>
      </c>
      <c r="C1" s="9" t="s">
        <v>936</v>
      </c>
    </row>
    <row r="2" customFormat="false" ht="15" hidden="false" customHeight="true" outlineLevel="0" collapsed="false">
      <c r="A2" s="11" t="s">
        <v>14</v>
      </c>
      <c r="B2" s="11" t="n">
        <v>1</v>
      </c>
      <c r="C2" s="11" t="s">
        <v>937</v>
      </c>
    </row>
    <row r="3" customFormat="false" ht="15" hidden="false" customHeight="true" outlineLevel="0" collapsed="false">
      <c r="A3" s="14" t="s">
        <v>90</v>
      </c>
      <c r="B3" s="14" t="n">
        <v>2</v>
      </c>
      <c r="C3" s="14" t="s">
        <v>938</v>
      </c>
    </row>
    <row r="4" customFormat="false" ht="15" hidden="false" customHeight="true" outlineLevel="0" collapsed="false">
      <c r="A4" s="11" t="s">
        <v>96</v>
      </c>
      <c r="B4" s="11" t="n">
        <v>2</v>
      </c>
      <c r="C4" s="11" t="s">
        <v>939</v>
      </c>
    </row>
    <row r="5" customFormat="false" ht="15" hidden="false" customHeight="true" outlineLevel="0" collapsed="false">
      <c r="A5" s="14" t="s">
        <v>100</v>
      </c>
      <c r="B5" s="14" t="n">
        <v>3</v>
      </c>
      <c r="C5" s="14" t="s">
        <v>940</v>
      </c>
    </row>
    <row r="6" customFormat="false" ht="15" hidden="false" customHeight="true" outlineLevel="0" collapsed="false">
      <c r="A6" s="11" t="s">
        <v>103</v>
      </c>
      <c r="B6" s="11" t="n">
        <v>2</v>
      </c>
      <c r="C6" s="11" t="s">
        <v>941</v>
      </c>
    </row>
    <row r="7" customFormat="false" ht="15" hidden="false" customHeight="true" outlineLevel="0" collapsed="false">
      <c r="A7" s="14" t="s">
        <v>106</v>
      </c>
      <c r="B7" s="14" t="n">
        <v>7</v>
      </c>
      <c r="C7" s="14" t="s">
        <v>942</v>
      </c>
    </row>
    <row r="8" customFormat="false" ht="15" hidden="false" customHeight="true" outlineLevel="0" collapsed="false">
      <c r="A8" s="11" t="s">
        <v>108</v>
      </c>
      <c r="B8" s="11" t="n">
        <v>3</v>
      </c>
      <c r="C8" s="11" t="s">
        <v>943</v>
      </c>
    </row>
    <row r="9" customFormat="false" ht="15" hidden="false" customHeight="true" outlineLevel="0" collapsed="false">
      <c r="A9" s="14" t="s">
        <v>113</v>
      </c>
      <c r="B9" s="14" t="n">
        <v>2</v>
      </c>
      <c r="C9" s="14" t="s">
        <v>944</v>
      </c>
    </row>
    <row r="10" customFormat="false" ht="15" hidden="false" customHeight="true" outlineLevel="0" collapsed="false">
      <c r="A10" s="11" t="s">
        <v>127</v>
      </c>
      <c r="B10" s="11" t="n">
        <v>3</v>
      </c>
      <c r="C10" s="11" t="s">
        <v>945</v>
      </c>
    </row>
    <row r="11" customFormat="false" ht="15" hidden="false" customHeight="true" outlineLevel="0" collapsed="false">
      <c r="A11" s="4" t="s">
        <v>946</v>
      </c>
      <c r="B11" s="4" t="n">
        <f aca="false">SUM(B2:B10)</f>
        <v>25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0"/>
  </cols>
  <sheetData>
    <row r="1" customFormat="false" ht="30" hidden="false" customHeight="true" outlineLevel="0" collapsed="false">
      <c r="A1" s="9" t="s">
        <v>947</v>
      </c>
      <c r="B1" s="9" t="s">
        <v>948</v>
      </c>
    </row>
    <row r="2" customFormat="false" ht="15" hidden="false" customHeight="true" outlineLevel="0" collapsed="false">
      <c r="A2" s="11" t="s">
        <v>949</v>
      </c>
      <c r="B2" s="11" t="s">
        <v>950</v>
      </c>
    </row>
    <row r="3" customFormat="false" ht="23.25" hidden="false" customHeight="true" outlineLevel="0" collapsed="false">
      <c r="A3" s="14" t="s">
        <v>949</v>
      </c>
      <c r="B3" s="14" t="s">
        <v>951</v>
      </c>
    </row>
    <row r="4" customFormat="false" ht="15" hidden="false" customHeight="true" outlineLevel="0" collapsed="false">
      <c r="A4" s="11" t="s">
        <v>949</v>
      </c>
      <c r="B4" s="11" t="s">
        <v>952</v>
      </c>
    </row>
    <row r="5" customFormat="false" ht="15" hidden="false" customHeight="true" outlineLevel="0" collapsed="false">
      <c r="A5" s="14" t="s">
        <v>953</v>
      </c>
      <c r="B5" s="14" t="s">
        <v>954</v>
      </c>
    </row>
    <row r="6" customFormat="false" ht="15" hidden="false" customHeight="true" outlineLevel="0" collapsed="false">
      <c r="A6" s="11" t="s">
        <v>955</v>
      </c>
      <c r="B6" s="11" t="s">
        <v>956</v>
      </c>
    </row>
    <row r="7" customFormat="false" ht="15" hidden="false" customHeight="true" outlineLevel="0" collapsed="false">
      <c r="A7" s="14" t="s">
        <v>955</v>
      </c>
      <c r="B7" s="14" t="s">
        <v>957</v>
      </c>
    </row>
    <row r="8" customFormat="false" ht="15" hidden="false" customHeight="true" outlineLevel="0" collapsed="false">
      <c r="A8" s="11" t="s">
        <v>955</v>
      </c>
      <c r="B8" s="11" t="s">
        <v>958</v>
      </c>
    </row>
    <row r="9" customFormat="false" ht="15" hidden="false" customHeight="true" outlineLevel="0" collapsed="false">
      <c r="A9" s="14" t="s">
        <v>12</v>
      </c>
      <c r="B9" s="14" t="s">
        <v>959</v>
      </c>
    </row>
    <row r="10" customFormat="false" ht="15" hidden="false" customHeight="true" outlineLevel="0" collapsed="false">
      <c r="A10" s="11" t="s">
        <v>960</v>
      </c>
      <c r="B10" s="11" t="s">
        <v>961</v>
      </c>
    </row>
    <row r="11" customFormat="false" ht="15" hidden="false" customHeight="true" outlineLevel="0" collapsed="false">
      <c r="A11" s="14" t="s">
        <v>4</v>
      </c>
      <c r="B11" s="14" t="s">
        <v>962</v>
      </c>
    </row>
    <row r="12" customFormat="false" ht="15" hidden="false" customHeight="true" outlineLevel="0" collapsed="false">
      <c r="A12" s="11" t="s">
        <v>963</v>
      </c>
      <c r="B12" s="11" t="s">
        <v>964</v>
      </c>
    </row>
    <row r="13" customFormat="false" ht="15" hidden="false" customHeight="true" outlineLevel="0" collapsed="false">
      <c r="A13" s="14" t="s">
        <v>963</v>
      </c>
      <c r="B13" s="14" t="s">
        <v>965</v>
      </c>
    </row>
  </sheetData>
  <autoFilter ref="A1:B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8"/>
  </cols>
  <sheetData>
    <row r="1" customFormat="false" ht="27.75" hidden="false" customHeight="true" outlineLevel="0" collapsed="false">
      <c r="A1" s="9" t="s">
        <v>966</v>
      </c>
      <c r="B1" s="9" t="s">
        <v>185</v>
      </c>
      <c r="C1" s="9" t="s">
        <v>967</v>
      </c>
      <c r="D1" s="9" t="s">
        <v>968</v>
      </c>
      <c r="E1" s="9" t="s">
        <v>969</v>
      </c>
    </row>
    <row r="2" customFormat="false" ht="15" hidden="false" customHeight="true" outlineLevel="0" collapsed="false">
      <c r="A2" s="23" t="n">
        <v>1</v>
      </c>
      <c r="B2" s="23" t="s">
        <v>538</v>
      </c>
      <c r="C2" s="23" t="s">
        <v>539</v>
      </c>
      <c r="D2" s="23" t="s">
        <v>541</v>
      </c>
      <c r="E2" s="23" t="s">
        <v>970</v>
      </c>
    </row>
    <row r="3" customFormat="false" ht="15" hidden="false" customHeight="true" outlineLevel="0" collapsed="false">
      <c r="A3" s="26" t="n">
        <v>2</v>
      </c>
      <c r="B3" s="26" t="s">
        <v>543</v>
      </c>
      <c r="C3" s="26" t="s">
        <v>544</v>
      </c>
      <c r="D3" s="26" t="s">
        <v>546</v>
      </c>
      <c r="E3" s="26" t="s">
        <v>971</v>
      </c>
    </row>
    <row r="4" customFormat="false" ht="15" hidden="false" customHeight="true" outlineLevel="0" collapsed="false">
      <c r="A4" s="23" t="n">
        <v>3</v>
      </c>
      <c r="B4" s="23" t="s">
        <v>548</v>
      </c>
      <c r="C4" s="23" t="s">
        <v>549</v>
      </c>
      <c r="D4" s="23" t="s">
        <v>551</v>
      </c>
      <c r="E4" s="23" t="s">
        <v>972</v>
      </c>
    </row>
    <row r="5" customFormat="false" ht="15" hidden="false" customHeight="true" outlineLevel="0" collapsed="false">
      <c r="A5" s="26" t="n">
        <v>4</v>
      </c>
      <c r="B5" s="26" t="s">
        <v>553</v>
      </c>
      <c r="C5" s="26" t="s">
        <v>554</v>
      </c>
      <c r="D5" s="26" t="s">
        <v>546</v>
      </c>
      <c r="E5" s="26" t="s">
        <v>971</v>
      </c>
    </row>
    <row r="6" customFormat="false" ht="15" hidden="false" customHeight="true" outlineLevel="0" collapsed="false">
      <c r="A6" s="23" t="n">
        <v>5</v>
      </c>
      <c r="B6" s="23" t="s">
        <v>557</v>
      </c>
      <c r="C6" s="23" t="s">
        <v>558</v>
      </c>
      <c r="D6" s="23" t="s">
        <v>560</v>
      </c>
      <c r="E6" s="23" t="s">
        <v>973</v>
      </c>
    </row>
    <row r="7" customFormat="false" ht="15" hidden="false" customHeight="true" outlineLevel="0" collapsed="false">
      <c r="A7" s="26" t="n">
        <v>6</v>
      </c>
      <c r="B7" s="26" t="s">
        <v>562</v>
      </c>
      <c r="C7" s="26" t="s">
        <v>563</v>
      </c>
      <c r="D7" s="26" t="s">
        <v>546</v>
      </c>
      <c r="E7" s="26" t="s">
        <v>971</v>
      </c>
    </row>
    <row r="8" customFormat="false" ht="15" hidden="false" customHeight="true" outlineLevel="0" collapsed="false">
      <c r="A8" s="23" t="n">
        <v>7</v>
      </c>
      <c r="B8" s="23" t="s">
        <v>566</v>
      </c>
      <c r="C8" s="23" t="s">
        <v>567</v>
      </c>
      <c r="D8" s="23" t="s">
        <v>551</v>
      </c>
      <c r="E8" s="23" t="s">
        <v>972</v>
      </c>
    </row>
    <row r="9" customFormat="false" ht="15" hidden="false" customHeight="true" outlineLevel="0" collapsed="false">
      <c r="A9" s="26" t="n">
        <v>8</v>
      </c>
      <c r="B9" s="26" t="s">
        <v>570</v>
      </c>
      <c r="C9" s="26" t="s">
        <v>571</v>
      </c>
      <c r="D9" s="26" t="s">
        <v>573</v>
      </c>
      <c r="E9" s="26" t="s">
        <v>970</v>
      </c>
    </row>
    <row r="10" customFormat="false" ht="15" hidden="false" customHeight="true" outlineLevel="0" collapsed="false">
      <c r="A10" s="23" t="n">
        <v>9</v>
      </c>
      <c r="B10" s="23" t="s">
        <v>575</v>
      </c>
      <c r="C10" s="23" t="s">
        <v>576</v>
      </c>
      <c r="D10" s="23" t="s">
        <v>546</v>
      </c>
      <c r="E10" s="23" t="s">
        <v>971</v>
      </c>
    </row>
    <row r="11" customFormat="false" ht="15" hidden="false" customHeight="true" outlineLevel="0" collapsed="false">
      <c r="A11" s="26" t="n">
        <v>10</v>
      </c>
      <c r="B11" s="26" t="s">
        <v>579</v>
      </c>
      <c r="C11" s="26" t="s">
        <v>580</v>
      </c>
      <c r="D11" s="26" t="s">
        <v>560</v>
      </c>
      <c r="E11" s="26" t="s">
        <v>973</v>
      </c>
    </row>
    <row r="12" customFormat="false" ht="15" hidden="false" customHeight="true" outlineLevel="0" collapsed="false">
      <c r="A12" s="23" t="n">
        <v>11</v>
      </c>
      <c r="B12" s="23" t="s">
        <v>583</v>
      </c>
      <c r="C12" s="23" t="s">
        <v>584</v>
      </c>
      <c r="D12" s="23" t="s">
        <v>560</v>
      </c>
      <c r="E12" s="23" t="s">
        <v>973</v>
      </c>
    </row>
    <row r="13" customFormat="false" ht="15" hidden="false" customHeight="true" outlineLevel="0" collapsed="false">
      <c r="A13" s="26" t="n">
        <v>12</v>
      </c>
      <c r="B13" s="26" t="s">
        <v>587</v>
      </c>
      <c r="C13" s="26" t="s">
        <v>588</v>
      </c>
      <c r="D13" s="26" t="s">
        <v>551</v>
      </c>
      <c r="E13" s="26" t="s">
        <v>972</v>
      </c>
    </row>
    <row r="15" customFormat="false" ht="15" hidden="false" customHeight="true" outlineLevel="0" collapsed="false">
      <c r="A15" s="4" t="s">
        <v>974</v>
      </c>
    </row>
    <row r="16" customFormat="false" ht="23.25" hidden="false" customHeight="true" outlineLevel="0" collapsed="false">
      <c r="A16" s="30" t="s">
        <v>975</v>
      </c>
      <c r="B16" s="30" t="s">
        <v>976</v>
      </c>
      <c r="C16" s="30" t="s">
        <v>977</v>
      </c>
      <c r="D16" s="30" t="s">
        <v>978</v>
      </c>
      <c r="E16" s="30" t="s">
        <v>979</v>
      </c>
    </row>
    <row r="17" customFormat="false" ht="15" hidden="false" customHeight="true" outlineLevel="0" collapsed="false">
      <c r="A17" s="5" t="n">
        <v>1</v>
      </c>
      <c r="B17" s="5" t="n">
        <v>102</v>
      </c>
      <c r="C17" s="5" t="s">
        <v>639</v>
      </c>
      <c r="D17" s="31" t="s">
        <v>980</v>
      </c>
      <c r="E17" s="5" t="s">
        <v>643</v>
      </c>
    </row>
    <row r="18" customFormat="false" ht="15" hidden="false" customHeight="true" outlineLevel="0" collapsed="false">
      <c r="A18" s="5" t="n">
        <v>2</v>
      </c>
      <c r="B18" s="5" t="n">
        <v>202</v>
      </c>
      <c r="C18" s="5" t="s">
        <v>644</v>
      </c>
      <c r="D18" s="31" t="s">
        <v>981</v>
      </c>
      <c r="E18" s="5" t="s">
        <v>643</v>
      </c>
    </row>
    <row r="19" customFormat="false" ht="15" hidden="false" customHeight="true" outlineLevel="0" collapsed="false">
      <c r="A19" s="5" t="n">
        <v>3</v>
      </c>
      <c r="B19" s="5" t="n">
        <v>203</v>
      </c>
      <c r="C19" s="5" t="s">
        <v>647</v>
      </c>
      <c r="D19" s="31" t="s">
        <v>982</v>
      </c>
      <c r="E19" s="5" t="s">
        <v>643</v>
      </c>
    </row>
    <row r="20" customFormat="false" ht="15" hidden="false" customHeight="true" outlineLevel="0" collapsed="false">
      <c r="A20" s="5" t="n">
        <v>4</v>
      </c>
      <c r="B20" s="5" t="n">
        <v>302</v>
      </c>
      <c r="C20" s="5" t="s">
        <v>650</v>
      </c>
      <c r="D20" s="31" t="s">
        <v>983</v>
      </c>
      <c r="E20" s="5" t="s">
        <v>643</v>
      </c>
    </row>
    <row r="21" customFormat="false" ht="15" hidden="false" customHeight="true" outlineLevel="0" collapsed="false">
      <c r="A21" s="5" t="n">
        <v>5</v>
      </c>
      <c r="B21" s="5" t="n">
        <v>403</v>
      </c>
      <c r="C21" s="5" t="s">
        <v>654</v>
      </c>
      <c r="D21" s="31" t="s">
        <v>984</v>
      </c>
      <c r="E21" s="5" t="s">
        <v>643</v>
      </c>
    </row>
    <row r="22" customFormat="false" ht="15" hidden="false" customHeight="true" outlineLevel="0" collapsed="false">
      <c r="A22" s="5" t="n">
        <v>6</v>
      </c>
      <c r="B22" s="5" t="n">
        <v>501</v>
      </c>
      <c r="C22" s="5" t="s">
        <v>657</v>
      </c>
      <c r="D22" s="31" t="s">
        <v>985</v>
      </c>
      <c r="E22" s="5" t="s">
        <v>643</v>
      </c>
    </row>
    <row r="23" customFormat="false" ht="15" hidden="false" customHeight="true" outlineLevel="0" collapsed="false">
      <c r="A23" s="5" t="n">
        <v>7</v>
      </c>
      <c r="B23" s="5" t="n">
        <v>503</v>
      </c>
      <c r="C23" s="5" t="s">
        <v>661</v>
      </c>
      <c r="D23" s="31" t="s">
        <v>986</v>
      </c>
      <c r="E23" s="5" t="s">
        <v>643</v>
      </c>
    </row>
    <row r="24" customFormat="false" ht="15" hidden="false" customHeight="true" outlineLevel="0" collapsed="false">
      <c r="A24" s="5" t="n">
        <v>8</v>
      </c>
      <c r="B24" s="5" t="n">
        <v>602</v>
      </c>
      <c r="C24" s="5" t="s">
        <v>665</v>
      </c>
      <c r="D24" s="31" t="s">
        <v>987</v>
      </c>
      <c r="E24" s="5" t="s">
        <v>643</v>
      </c>
    </row>
    <row r="25" customFormat="false" ht="15" hidden="false" customHeight="true" outlineLevel="0" collapsed="false">
      <c r="A25" s="5" t="n">
        <v>9</v>
      </c>
      <c r="B25" s="5" t="n">
        <v>701</v>
      </c>
      <c r="C25" s="5" t="s">
        <v>669</v>
      </c>
      <c r="D25" s="31" t="s">
        <v>988</v>
      </c>
      <c r="E25" s="5" t="s">
        <v>643</v>
      </c>
    </row>
    <row r="26" customFormat="false" ht="15" hidden="false" customHeight="true" outlineLevel="0" collapsed="false">
      <c r="A26" s="5" t="n">
        <v>10</v>
      </c>
      <c r="B26" s="5" t="n">
        <v>802</v>
      </c>
      <c r="C26" s="5" t="s">
        <v>673</v>
      </c>
      <c r="D26" s="31" t="s">
        <v>989</v>
      </c>
      <c r="E26" s="5" t="s">
        <v>643</v>
      </c>
    </row>
    <row r="27" customFormat="false" ht="15" hidden="false" customHeight="true" outlineLevel="0" collapsed="false">
      <c r="A27" s="5" t="n">
        <v>11</v>
      </c>
      <c r="B27" s="5" t="n">
        <v>901</v>
      </c>
      <c r="C27" s="5" t="s">
        <v>676</v>
      </c>
      <c r="D27" s="31" t="s">
        <v>990</v>
      </c>
      <c r="E27" s="5" t="s">
        <v>643</v>
      </c>
    </row>
    <row r="28" customFormat="false" ht="15" hidden="false" customHeight="true" outlineLevel="0" collapsed="false">
      <c r="A28" s="5" t="n">
        <v>12</v>
      </c>
      <c r="B28" s="5" t="n">
        <v>1002</v>
      </c>
      <c r="C28" s="5" t="s">
        <v>680</v>
      </c>
      <c r="D28" s="31" t="s">
        <v>991</v>
      </c>
      <c r="E28" s="5" t="s">
        <v>643</v>
      </c>
    </row>
    <row r="29" customFormat="false" ht="15" hidden="false" customHeight="true" outlineLevel="0" collapsed="false">
      <c r="A29" s="5" t="n">
        <v>13</v>
      </c>
      <c r="B29" s="5" t="n">
        <v>101</v>
      </c>
      <c r="C29" s="5" t="s">
        <v>684</v>
      </c>
      <c r="D29" s="31" t="s">
        <v>992</v>
      </c>
      <c r="E29" s="5" t="s">
        <v>688</v>
      </c>
    </row>
    <row r="30" customFormat="false" ht="15" hidden="false" customHeight="true" outlineLevel="0" collapsed="false">
      <c r="A30" s="5" t="n">
        <v>14</v>
      </c>
      <c r="B30" s="5" t="n">
        <v>101</v>
      </c>
      <c r="C30" s="5" t="s">
        <v>690</v>
      </c>
      <c r="D30" s="31" t="s">
        <v>993</v>
      </c>
      <c r="E30" s="5" t="s">
        <v>688</v>
      </c>
    </row>
    <row r="31" customFormat="false" ht="15" hidden="false" customHeight="true" outlineLevel="0" collapsed="false">
      <c r="A31" s="5" t="n">
        <v>15</v>
      </c>
      <c r="B31" s="5" t="n">
        <v>103</v>
      </c>
      <c r="C31" s="5" t="s">
        <v>693</v>
      </c>
      <c r="D31" s="31" t="s">
        <v>994</v>
      </c>
      <c r="E31" s="5" t="s">
        <v>696</v>
      </c>
    </row>
    <row r="32" customFormat="false" ht="15" hidden="false" customHeight="true" outlineLevel="0" collapsed="false">
      <c r="A32" s="5" t="n">
        <v>16</v>
      </c>
      <c r="B32" s="5" t="n">
        <v>201</v>
      </c>
      <c r="C32" s="5" t="s">
        <v>699</v>
      </c>
      <c r="D32" s="31" t="s">
        <v>995</v>
      </c>
      <c r="E32" s="5" t="s">
        <v>702</v>
      </c>
    </row>
    <row r="33" customFormat="false" ht="15" hidden="false" customHeight="true" outlineLevel="0" collapsed="false">
      <c r="A33" s="5" t="n">
        <v>17</v>
      </c>
      <c r="B33" s="5" t="n">
        <v>204</v>
      </c>
      <c r="C33" s="5" t="s">
        <v>705</v>
      </c>
      <c r="D33" s="31" t="s">
        <v>996</v>
      </c>
      <c r="E33" s="5" t="s">
        <v>708</v>
      </c>
    </row>
    <row r="34" customFormat="false" ht="15" hidden="false" customHeight="true" outlineLevel="0" collapsed="false">
      <c r="A34" s="5" t="n">
        <v>18</v>
      </c>
      <c r="B34" s="5" t="n">
        <v>301</v>
      </c>
      <c r="C34" s="5" t="s">
        <v>711</v>
      </c>
      <c r="D34" s="31" t="s">
        <v>997</v>
      </c>
      <c r="E34" s="5" t="s">
        <v>688</v>
      </c>
    </row>
    <row r="35" customFormat="false" ht="15" hidden="false" customHeight="true" outlineLevel="0" collapsed="false">
      <c r="A35" s="5" t="n">
        <v>19</v>
      </c>
      <c r="B35" s="5" t="n">
        <v>303</v>
      </c>
      <c r="C35" s="5" t="s">
        <v>715</v>
      </c>
      <c r="D35" s="31" t="s">
        <v>998</v>
      </c>
      <c r="E35" s="5" t="s">
        <v>688</v>
      </c>
    </row>
    <row r="36" customFormat="false" ht="15" hidden="false" customHeight="true" outlineLevel="0" collapsed="false">
      <c r="A36" s="5" t="n">
        <v>20</v>
      </c>
      <c r="B36" s="5" t="n">
        <v>401</v>
      </c>
      <c r="C36" s="5" t="s">
        <v>719</v>
      </c>
      <c r="D36" s="31" t="s">
        <v>999</v>
      </c>
      <c r="E36" s="5" t="s">
        <v>688</v>
      </c>
    </row>
    <row r="37" customFormat="false" ht="15" hidden="false" customHeight="true" outlineLevel="0" collapsed="false">
      <c r="A37" s="5" t="n">
        <v>21</v>
      </c>
      <c r="B37" s="5" t="n">
        <v>502</v>
      </c>
      <c r="C37" s="5" t="s">
        <v>723</v>
      </c>
      <c r="D37" s="31" t="s">
        <v>1000</v>
      </c>
      <c r="E37" s="5" t="s">
        <v>688</v>
      </c>
    </row>
    <row r="38" customFormat="false" ht="15" hidden="false" customHeight="true" outlineLevel="0" collapsed="false">
      <c r="A38" s="5" t="n">
        <v>22</v>
      </c>
      <c r="B38" s="5" t="n">
        <v>601</v>
      </c>
      <c r="C38" s="5" t="s">
        <v>727</v>
      </c>
      <c r="D38" s="31" t="s">
        <v>1001</v>
      </c>
      <c r="E38" s="5" t="s">
        <v>688</v>
      </c>
    </row>
    <row r="39" customFormat="false" ht="15" hidden="false" customHeight="true" outlineLevel="0" collapsed="false">
      <c r="A39" s="5" t="n">
        <v>23</v>
      </c>
      <c r="B39" s="5" t="n">
        <v>702</v>
      </c>
      <c r="C39" s="5" t="s">
        <v>731</v>
      </c>
      <c r="D39" s="31" t="s">
        <v>1002</v>
      </c>
      <c r="E39" s="5" t="s">
        <v>688</v>
      </c>
    </row>
    <row r="40" customFormat="false" ht="15" hidden="false" customHeight="true" outlineLevel="0" collapsed="false">
      <c r="A40" s="5" t="n">
        <v>24</v>
      </c>
      <c r="B40" s="5" t="n">
        <v>803</v>
      </c>
      <c r="C40" s="5" t="s">
        <v>734</v>
      </c>
      <c r="D40" s="31" t="s">
        <v>1003</v>
      </c>
      <c r="E40" s="5" t="s">
        <v>688</v>
      </c>
    </row>
    <row r="41" customFormat="false" ht="15" hidden="false" customHeight="true" outlineLevel="0" collapsed="false">
      <c r="A41" s="5" t="n">
        <v>25</v>
      </c>
      <c r="B41" s="5" t="n">
        <v>102</v>
      </c>
      <c r="C41" s="5" t="s">
        <v>738</v>
      </c>
      <c r="D41" s="31" t="s">
        <v>1004</v>
      </c>
      <c r="E41" s="5" t="s">
        <v>688</v>
      </c>
    </row>
    <row r="43" customFormat="false" ht="15" hidden="false" customHeight="true" outlineLevel="0" collapsed="false">
      <c r="A43" s="32" t="s">
        <v>1005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2026-10-14T03:03:34Z</dcterms:created>
  <dc:creator>openpyxl</dc:creator>
  <dc:description/>
  <dc:language>en-US</dc:language>
  <cp:lastModifiedBy/>
  <dcterms:modified xsi:type="dcterms:W3CDTF">2026-10-14T03:25:35Z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